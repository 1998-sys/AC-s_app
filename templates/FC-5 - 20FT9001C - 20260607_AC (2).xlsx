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templates/"/>
    </mc:Choice>
  </mc:AlternateContent>
  <xr:revisionPtr revIDLastSave="83" documentId="8_{7F432CE2-7E2A-41BC-93EC-C2DAFB0E2218}" xr6:coauthVersionLast="47" xr6:coauthVersionMax="47" xr10:uidLastSave="{4C36B79C-A977-4339-8DA5-8843B84C05E7}"/>
  <bookViews>
    <workbookView xWindow="28680" yWindow="-120" windowWidth="29040" windowHeight="15720" xr2:uid="{D6AC32CA-A916-45E9-897E-043B50AA18AC}"/>
  </bookViews>
  <sheets>
    <sheet name="Primários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2" i="1"/>
  <c r="G27" i="1" l="1"/>
  <c r="G24" i="1"/>
  <c r="G21" i="1"/>
  <c r="G18" i="1"/>
  <c r="G15" i="1"/>
  <c r="G36" i="1" l="1"/>
</calcChain>
</file>

<file path=xl/sharedStrings.xml><?xml version="1.0" encoding="utf-8"?>
<sst xmlns="http://schemas.openxmlformats.org/spreadsheetml/2006/main" count="63" uniqueCount="61">
  <si>
    <t>Análise Crítica de Calibração dos Medidores Primários</t>
  </si>
  <si>
    <t>Cliente:</t>
  </si>
  <si>
    <t>YINSON</t>
  </si>
  <si>
    <t>TAG do instrumento:</t>
  </si>
  <si>
    <t>Localização:</t>
  </si>
  <si>
    <t>FPSO Anna Nery</t>
  </si>
  <si>
    <t>Número do Certificado:</t>
  </si>
  <si>
    <t>Data de Calibração:</t>
  </si>
  <si>
    <t>Classificação:</t>
  </si>
  <si>
    <t>Descrição dos itens avaliados</t>
  </si>
  <si>
    <t>Valor</t>
  </si>
  <si>
    <t>Data da calibração anterior</t>
  </si>
  <si>
    <t>Periodicidade (dias)</t>
  </si>
  <si>
    <t>A periodicidade foi atendida?</t>
  </si>
  <si>
    <t>Data de emissão</t>
  </si>
  <si>
    <t>Período para emissão (dias)</t>
  </si>
  <si>
    <t>O período para emissão foi atendido?</t>
  </si>
  <si>
    <t>Repetibilidade máxima admitida (%)</t>
  </si>
  <si>
    <t>A repetibilidade foi atendida?</t>
  </si>
  <si>
    <t>Desvio máximo admitido em relação à calibração anterior (%)</t>
  </si>
  <si>
    <t>O desvio em relação à calibração anterior foi atendido?</t>
  </si>
  <si>
    <t>Incerteza admitida</t>
  </si>
  <si>
    <t>O critério de incerteza foi atendido?</t>
  </si>
  <si>
    <t>A diferença de temperatura atende o limite de 5°C ?</t>
  </si>
  <si>
    <t>Diferença admitida conforme histórico (kPa)</t>
  </si>
  <si>
    <t>O range está correto?</t>
  </si>
  <si>
    <t>SIM</t>
  </si>
  <si>
    <t>O certificado está assinado?</t>
  </si>
  <si>
    <t>Os dados obrigatórios listadodos abaixo estão presentes?</t>
  </si>
  <si>
    <t xml:space="preserve">O medidor está apto e atende a todos os ítens avaliados? </t>
  </si>
  <si>
    <t>Dados Obrigatórios</t>
  </si>
  <si>
    <t>a. Logotipo de acreditação do laboratório</t>
  </si>
  <si>
    <t>b. Identificação do aprovador</t>
  </si>
  <si>
    <t>c. Identificação do cliente</t>
  </si>
  <si>
    <t>d. Identificação dos padrões utilizados</t>
  </si>
  <si>
    <t>e. Condições ambientais durante calibração</t>
  </si>
  <si>
    <t>f. Numeração das paginas</t>
  </si>
  <si>
    <t>g. Registros de pressão e temperatura do medidor</t>
  </si>
  <si>
    <t>h. Identificação do fluido utilizado</t>
  </si>
  <si>
    <t>i. Número de corridas e resultado de cada uma</t>
  </si>
  <si>
    <t>j. Data e hora de alinhamento do medidor para calibração</t>
  </si>
  <si>
    <t>k. Data e hora de início das corridas</t>
  </si>
  <si>
    <t>l. Data e hora de finalização das corridas</t>
  </si>
  <si>
    <t>m. Data e hora de elaboração do relatório</t>
  </si>
  <si>
    <t>n. Valores medidos (volumes, pressões, temperaturas, níveis) no início e no fim da calibração</t>
  </si>
  <si>
    <t>o. Fatores de calibração correntes (fator do medidor e k-factor);</t>
  </si>
  <si>
    <t>p. Fatores de calibração encontrados após calibração (fator do medidor e k-factor)</t>
  </si>
  <si>
    <t>q. Desvio entre fatores de calibração corrente e encontrado após calibração</t>
  </si>
  <si>
    <t>r. Número de corridas de calibração</t>
  </si>
  <si>
    <t>s. Histórico do fator do medidor encontrado nas calibrações anteriores, para o mesmo instrumento</t>
  </si>
  <si>
    <t>Data:</t>
  </si>
  <si>
    <t>Responsável pela análise</t>
  </si>
  <si>
    <t>Fiscal</t>
  </si>
  <si>
    <t>A diferença de pressão atende o limite histórico?</t>
  </si>
  <si>
    <t>Maior diferença da temperatura médida medidor calibrado em relação ao padrão (°C)</t>
  </si>
  <si>
    <t>Maior desvio em relação à calibração anterior (%)</t>
  </si>
  <si>
    <t>Maior repetibilidade obtida na calibração (%)</t>
  </si>
  <si>
    <t>Maior incerteza da calibração</t>
  </si>
  <si>
    <t>FC-5 - 20FT9001C - 20260607</t>
  </si>
  <si>
    <t>20FT9001C</t>
  </si>
  <si>
    <t>Maior diferença da pressão medida do medidor calibrado em relação ao padrão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</si>
</sst>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2"/>
      <name val="Calibri "/>
    </font>
    <font>
      <sz val="12"/>
      <name val="Tahoma"/>
      <family val="2"/>
    </font>
    <font>
      <sz val="12"/>
      <color theme="1"/>
      <name val="Prio"/>
      <family val="3"/>
    </font>
    <font>
      <sz val="9"/>
      <color theme="1"/>
      <name val="Prio"/>
      <family val="3"/>
    </font>
    <font>
      <sz val="8"/>
      <color theme="1"/>
      <name val="Prio"/>
      <family val="3"/>
    </font>
    <font>
      <b/>
      <sz val="8"/>
      <color rgb="FFFFFFFF"/>
      <name val="Prio"/>
      <family val="3"/>
    </font>
    <font>
      <sz val="9"/>
      <color rgb="FFFFFFFF"/>
      <name val="Prio"/>
      <family val="3"/>
    </font>
    <font>
      <sz val="11"/>
      <color rgb="FFFFFFFF"/>
      <name val="Prio"/>
      <family val="3"/>
    </font>
    <font>
      <b/>
      <sz val="8"/>
      <color theme="1" tint="0.499984740745262"/>
      <name val="Prio"/>
      <family val="3"/>
    </font>
    <font>
      <sz val="9"/>
      <color theme="1" tint="0.499984740745262"/>
      <name val="Prio"/>
      <family val="3"/>
    </font>
    <font>
      <b/>
      <sz val="8"/>
      <color theme="1"/>
      <name val="Calibri "/>
    </font>
    <font>
      <sz val="8"/>
      <color theme="1"/>
      <name val="Calibri "/>
    </font>
    <font>
      <b/>
      <sz val="10"/>
      <color theme="1"/>
      <name val="Calibri "/>
    </font>
    <font>
      <b/>
      <sz val="9"/>
      <color theme="1"/>
      <name val="Prio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 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9" fillId="3" borderId="0" xfId="0" applyFont="1" applyFill="1"/>
    <xf numFmtId="0" fontId="12" fillId="0" borderId="0" xfId="0" applyFont="1"/>
    <xf numFmtId="0" fontId="13" fillId="0" borderId="1" xfId="0" applyFont="1" applyBorder="1" applyAlignment="1">
      <alignment horizontal="left"/>
    </xf>
    <xf numFmtId="0" fontId="16" fillId="4" borderId="1" xfId="0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9" fillId="0" borderId="4" xfId="0" applyFont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19" fillId="0" borderId="7" xfId="0" applyFont="1" applyBorder="1" applyAlignment="1">
      <alignment vertical="top"/>
    </xf>
    <xf numFmtId="0" fontId="0" fillId="0" borderId="8" xfId="0" applyBorder="1"/>
    <xf numFmtId="0" fontId="19" fillId="0" borderId="9" xfId="0" applyFont="1" applyBorder="1" applyAlignment="1">
      <alignment vertical="top"/>
    </xf>
    <xf numFmtId="0" fontId="0" fillId="0" borderId="10" xfId="0" applyBorder="1"/>
    <xf numFmtId="0" fontId="0" fillId="0" borderId="11" xfId="0" applyBorder="1"/>
    <xf numFmtId="0" fontId="6" fillId="0" borderId="4" xfId="0" applyFont="1" applyBorder="1"/>
    <xf numFmtId="0" fontId="6" fillId="0" borderId="3" xfId="0" applyFont="1" applyBorder="1"/>
    <xf numFmtId="0" fontId="6" fillId="0" borderId="5" xfId="0" applyFont="1" applyBorder="1" applyAlignment="1">
      <alignment horizontal="right"/>
    </xf>
    <xf numFmtId="14" fontId="6" fillId="0" borderId="5" xfId="0" applyNumberFormat="1" applyFont="1" applyBorder="1" applyAlignment="1">
      <alignment horizontal="center"/>
    </xf>
    <xf numFmtId="0" fontId="6" fillId="0" borderId="6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2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2" fontId="13" fillId="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18" fillId="4" borderId="1" xfId="0" applyFont="1" applyFill="1" applyBorder="1" applyAlignment="1">
      <alignment horizontal="left" vertical="center" wrapText="1"/>
    </xf>
    <xf numFmtId="0" fontId="1" fillId="4" borderId="3" xfId="0" applyFont="1" applyFill="1" applyBorder="1"/>
    <xf numFmtId="0" fontId="1" fillId="4" borderId="2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0" fillId="5" borderId="3" xfId="0" applyFill="1" applyBorder="1"/>
    <xf numFmtId="0" fontId="0" fillId="5" borderId="2" xfId="0" applyFill="1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3" xfId="0" applyFont="1" applyBorder="1" applyAlignment="1">
      <alignment horizontal="center" vertical="top"/>
    </xf>
    <xf numFmtId="0" fontId="11" fillId="0" borderId="0" xfId="0" applyFont="1" applyAlignment="1">
      <alignment horizontal="left" vertical="center" wrapText="1"/>
    </xf>
    <xf numFmtId="0" fontId="6" fillId="0" borderId="0" xfId="0" applyFont="1"/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vertical="top" wrapText="1"/>
    </xf>
    <xf numFmtId="14" fontId="14" fillId="0" borderId="1" xfId="0" applyNumberFormat="1" applyFont="1" applyBorder="1" applyAlignment="1">
      <alignment horizontal="left"/>
    </xf>
    <xf numFmtId="0" fontId="15" fillId="4" borderId="1" xfId="0" applyFont="1" applyFill="1" applyBorder="1" applyAlignment="1">
      <alignment horizontal="left" vertical="center"/>
    </xf>
    <xf numFmtId="0" fontId="0" fillId="4" borderId="3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111125</xdr:rowOff>
    </xdr:from>
    <xdr:to>
      <xdr:col>1</xdr:col>
      <xdr:colOff>1468755</xdr:colOff>
      <xdr:row>2</xdr:row>
      <xdr:rowOff>133226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91BDE-C090-4602-8F72-0C02215C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7748" r="8481"/>
        <a:stretch>
          <a:fillRect/>
        </a:stretch>
      </xdr:blipFill>
      <xdr:spPr bwMode="auto">
        <a:xfrm>
          <a:off x="152400" y="111125"/>
          <a:ext cx="1402080" cy="650751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3CE4-D8A1-4C87-8FC5-3424BB9C2C12}">
  <dimension ref="B2:H58"/>
  <sheetViews>
    <sheetView showGridLines="0" tabSelected="1" view="pageBreakPreview" zoomScaleNormal="100" zoomScaleSheetLayoutView="100" workbookViewId="0">
      <selection activeCell="G32" sqref="G32"/>
    </sheetView>
  </sheetViews>
  <sheetFormatPr defaultColWidth="9.140625" defaultRowHeight="12"/>
  <cols>
    <col min="1" max="1" width="1.140625" style="5" customWidth="1"/>
    <col min="2" max="2" width="23" style="5" customWidth="1"/>
    <col min="3" max="3" width="22" style="5" customWidth="1"/>
    <col min="4" max="4" width="18.42578125" style="5" customWidth="1"/>
    <col min="5" max="5" width="23.42578125" style="5" bestFit="1" customWidth="1"/>
    <col min="6" max="6" width="20.42578125" style="5" customWidth="1"/>
    <col min="7" max="7" width="12.140625" style="5" customWidth="1"/>
    <col min="8" max="26" width="9.140625" style="5" customWidth="1"/>
    <col min="27" max="16384" width="9.140625" style="5"/>
  </cols>
  <sheetData>
    <row r="2" spans="2:8" ht="37.5" customHeight="1">
      <c r="B2" s="1"/>
      <c r="C2" s="2" t="s">
        <v>0</v>
      </c>
      <c r="D2" s="3"/>
      <c r="E2" s="3"/>
      <c r="F2" s="4"/>
    </row>
    <row r="3" spans="2:8">
      <c r="B3" s="6"/>
      <c r="C3" s="6"/>
      <c r="D3" s="6"/>
      <c r="E3" s="6"/>
      <c r="F3" s="6"/>
      <c r="G3" s="6"/>
    </row>
    <row r="4" spans="2:8" ht="10.5" customHeight="1">
      <c r="B4" s="7"/>
      <c r="C4" s="8"/>
      <c r="D4" s="8"/>
      <c r="E4" s="8"/>
      <c r="F4" s="9"/>
      <c r="G4" s="8"/>
    </row>
    <row r="5" spans="2:8" ht="5.0999999999999996" customHeight="1">
      <c r="B5" s="10"/>
      <c r="C5" s="10"/>
      <c r="D5" s="10"/>
      <c r="E5" s="10"/>
      <c r="F5" s="10"/>
      <c r="G5" s="10"/>
    </row>
    <row r="6" spans="2:8">
      <c r="B6" s="51"/>
      <c r="C6" s="52"/>
      <c r="D6" s="52"/>
      <c r="E6" s="52"/>
      <c r="F6" s="52"/>
      <c r="G6" s="52"/>
      <c r="H6" s="11"/>
    </row>
    <row r="7" spans="2:8" ht="15" customHeight="1">
      <c r="B7" s="12" t="s">
        <v>1</v>
      </c>
      <c r="C7" s="53" t="s">
        <v>2</v>
      </c>
      <c r="D7" s="40"/>
      <c r="E7" s="12" t="s">
        <v>3</v>
      </c>
      <c r="F7" s="54" t="s">
        <v>59</v>
      </c>
      <c r="G7" s="40"/>
    </row>
    <row r="8" spans="2:8" ht="14.45" customHeight="1">
      <c r="B8" s="12" t="s">
        <v>4</v>
      </c>
      <c r="C8" s="55" t="s">
        <v>5</v>
      </c>
      <c r="D8" s="40"/>
      <c r="E8" s="12" t="s">
        <v>6</v>
      </c>
      <c r="F8" s="54" t="s">
        <v>58</v>
      </c>
      <c r="G8" s="40"/>
    </row>
    <row r="9" spans="2:8" ht="14.45" customHeight="1">
      <c r="B9" s="12" t="s">
        <v>7</v>
      </c>
      <c r="C9" s="56">
        <v>46180</v>
      </c>
      <c r="D9" s="40"/>
      <c r="E9" s="12" t="s">
        <v>8</v>
      </c>
      <c r="F9" s="54" t="s">
        <v>52</v>
      </c>
      <c r="G9" s="40"/>
    </row>
    <row r="11" spans="2:8" ht="15" customHeight="1"/>
    <row r="12" spans="2:8" ht="12.75" customHeight="1">
      <c r="B12" s="57" t="s">
        <v>9</v>
      </c>
      <c r="C12" s="58"/>
      <c r="D12" s="58"/>
      <c r="E12" s="58"/>
      <c r="F12" s="59"/>
      <c r="G12" s="13" t="s">
        <v>10</v>
      </c>
    </row>
    <row r="13" spans="2:8" ht="14.45" customHeight="1">
      <c r="B13" s="38" t="s">
        <v>11</v>
      </c>
      <c r="C13" s="39"/>
      <c r="D13" s="39"/>
      <c r="E13" s="39"/>
      <c r="F13" s="40"/>
      <c r="G13" s="14">
        <v>46105</v>
      </c>
    </row>
    <row r="14" spans="2:8" ht="14.45" customHeight="1">
      <c r="B14" s="38" t="s">
        <v>12</v>
      </c>
      <c r="C14" s="39"/>
      <c r="D14" s="39"/>
      <c r="E14" s="39"/>
      <c r="F14" s="40"/>
      <c r="G14" s="15">
        <v>90</v>
      </c>
    </row>
    <row r="15" spans="2:8" ht="14.45" customHeight="1">
      <c r="B15" s="45" t="s">
        <v>13</v>
      </c>
      <c r="C15" s="46"/>
      <c r="D15" s="46"/>
      <c r="E15" s="46"/>
      <c r="F15" s="47"/>
      <c r="G15" s="16" t="str">
        <f>IF(G13="","",IF(G13+G14&gt;=C9,"SIM","NÃO"))</f>
        <v>SIM</v>
      </c>
    </row>
    <row r="16" spans="2:8" ht="14.45" customHeight="1">
      <c r="B16" s="38" t="s">
        <v>14</v>
      </c>
      <c r="C16" s="39"/>
      <c r="D16" s="39"/>
      <c r="E16" s="39"/>
      <c r="F16" s="40"/>
      <c r="G16" s="14">
        <v>46182</v>
      </c>
    </row>
    <row r="17" spans="2:7" ht="14.45" customHeight="1">
      <c r="B17" s="38" t="s">
        <v>15</v>
      </c>
      <c r="C17" s="39"/>
      <c r="D17" s="39"/>
      <c r="E17" s="39"/>
      <c r="F17" s="40"/>
      <c r="G17" s="15">
        <v>3</v>
      </c>
    </row>
    <row r="18" spans="2:7" ht="14.45" customHeight="1">
      <c r="B18" s="45" t="s">
        <v>16</v>
      </c>
      <c r="C18" s="46"/>
      <c r="D18" s="46"/>
      <c r="E18" s="46"/>
      <c r="F18" s="47"/>
      <c r="G18" s="16" t="str">
        <f>IF(G16="","",IF(C9+G17&gt;=G16,"SIM","NÃO"))</f>
        <v>SIM</v>
      </c>
    </row>
    <row r="19" spans="2:7" ht="14.45" customHeight="1">
      <c r="B19" s="38" t="s">
        <v>56</v>
      </c>
      <c r="C19" s="48"/>
      <c r="D19" s="48"/>
      <c r="E19" s="48"/>
      <c r="F19" s="49"/>
      <c r="G19" s="35">
        <v>2.6898924043023999E-2</v>
      </c>
    </row>
    <row r="20" spans="2:7" ht="14.45" customHeight="1">
      <c r="B20" s="38" t="s">
        <v>17</v>
      </c>
      <c r="C20" s="39"/>
      <c r="D20" s="39"/>
      <c r="E20" s="39"/>
      <c r="F20" s="40"/>
      <c r="G20" s="15">
        <v>0.05</v>
      </c>
    </row>
    <row r="21" spans="2:7" ht="14.45" customHeight="1">
      <c r="B21" s="45" t="s">
        <v>18</v>
      </c>
      <c r="C21" s="46"/>
      <c r="D21" s="46"/>
      <c r="E21" s="46"/>
      <c r="F21" s="47"/>
      <c r="G21" s="16" t="str">
        <f>IF(G19="","",IF(G19&lt;=G20,"SIM","NÃO"))</f>
        <v>SIM</v>
      </c>
    </row>
    <row r="22" spans="2:7" ht="14.45" customHeight="1">
      <c r="B22" s="38" t="s">
        <v>55</v>
      </c>
      <c r="C22" s="48"/>
      <c r="D22" s="48"/>
      <c r="E22" s="48"/>
      <c r="F22" s="49"/>
      <c r="G22" s="15">
        <v>4.8000000000000001E-2</v>
      </c>
    </row>
    <row r="23" spans="2:7" ht="14.45" customHeight="1">
      <c r="B23" s="38" t="s">
        <v>19</v>
      </c>
      <c r="C23" s="39"/>
      <c r="D23" s="39"/>
      <c r="E23" s="39"/>
      <c r="F23" s="40"/>
      <c r="G23" s="15">
        <v>0.25</v>
      </c>
    </row>
    <row r="24" spans="2:7" ht="14.45" customHeight="1">
      <c r="B24" s="45" t="s">
        <v>20</v>
      </c>
      <c r="C24" s="46"/>
      <c r="D24" s="46"/>
      <c r="E24" s="46"/>
      <c r="F24" s="47"/>
      <c r="G24" s="16" t="str">
        <f>IF(G22="","",IF(G22&lt;=G23,"SIM","NÃO"))</f>
        <v>SIM</v>
      </c>
    </row>
    <row r="25" spans="2:7" ht="14.45" customHeight="1">
      <c r="B25" s="38" t="s">
        <v>57</v>
      </c>
      <c r="C25" s="39"/>
      <c r="D25" s="39"/>
      <c r="E25" s="39"/>
      <c r="F25" s="40"/>
      <c r="G25" s="36">
        <v>4.3306581485940096E-5</v>
      </c>
    </row>
    <row r="26" spans="2:7" ht="14.45" hidden="1" customHeight="1">
      <c r="B26" s="38" t="s">
        <v>21</v>
      </c>
      <c r="C26" s="39"/>
      <c r="D26" s="39"/>
      <c r="E26" s="39"/>
      <c r="F26" s="40"/>
      <c r="G26" s="15">
        <v>0.3</v>
      </c>
    </row>
    <row r="27" spans="2:7" ht="14.45" customHeight="1">
      <c r="B27" s="45" t="s">
        <v>22</v>
      </c>
      <c r="C27" s="46"/>
      <c r="D27" s="46"/>
      <c r="E27" s="46"/>
      <c r="F27" s="47"/>
      <c r="G27" s="16" t="str">
        <f>IF(G25="","",IF(G25&lt;=G26,"SIM","NÃO"))</f>
        <v>SIM</v>
      </c>
    </row>
    <row r="28" spans="2:7" ht="14.45" customHeight="1">
      <c r="B28" s="38" t="s">
        <v>54</v>
      </c>
      <c r="C28" s="48"/>
      <c r="D28" s="48"/>
      <c r="E28" s="48"/>
      <c r="F28" s="49"/>
      <c r="G28" s="34">
        <v>0.63</v>
      </c>
    </row>
    <row r="29" spans="2:7" ht="14.45" customHeight="1">
      <c r="B29" s="45" t="s">
        <v>23</v>
      </c>
      <c r="C29" s="46"/>
      <c r="D29" s="46"/>
      <c r="E29" s="46"/>
      <c r="F29" s="47"/>
      <c r="G29" s="16" t="str">
        <f>IF(G28="","",IF(G28&lt;=5,"SIM","NÃO"))</f>
        <v>SIM</v>
      </c>
    </row>
    <row r="30" spans="2:7" ht="14.45" customHeight="1">
      <c r="B30" s="38" t="s">
        <v>60</v>
      </c>
      <c r="C30" s="48"/>
      <c r="D30" s="48"/>
      <c r="E30" s="48"/>
      <c r="F30" s="49"/>
      <c r="G30" s="37">
        <v>102.99814910332198</v>
      </c>
    </row>
    <row r="31" spans="2:7" ht="14.45" customHeight="1">
      <c r="B31" s="38" t="s">
        <v>24</v>
      </c>
      <c r="C31" s="39"/>
      <c r="D31" s="39"/>
      <c r="E31" s="39"/>
      <c r="F31" s="40"/>
      <c r="G31" s="37">
        <v>74.66</v>
      </c>
    </row>
    <row r="32" spans="2:7" ht="14.45" customHeight="1">
      <c r="B32" s="45" t="s">
        <v>53</v>
      </c>
      <c r="C32" s="46"/>
      <c r="D32" s="46"/>
      <c r="E32" s="46"/>
      <c r="F32" s="47"/>
      <c r="G32" s="16" t="str">
        <f>IF(G30="","",IF(G30&lt;=G31,"SIM","NÃO"))</f>
        <v>NÃO</v>
      </c>
    </row>
    <row r="33" spans="2:7" ht="14.45" customHeight="1">
      <c r="B33" s="38" t="s">
        <v>25</v>
      </c>
      <c r="C33" s="39"/>
      <c r="D33" s="39"/>
      <c r="E33" s="39"/>
      <c r="F33" s="40"/>
      <c r="G33" s="15" t="s">
        <v>26</v>
      </c>
    </row>
    <row r="34" spans="2:7" ht="14.45" customHeight="1">
      <c r="B34" s="38" t="s">
        <v>27</v>
      </c>
      <c r="C34" s="39"/>
      <c r="D34" s="39"/>
      <c r="E34" s="39"/>
      <c r="F34" s="40"/>
      <c r="G34" s="15" t="s">
        <v>26</v>
      </c>
    </row>
    <row r="35" spans="2:7" ht="14.45" customHeight="1">
      <c r="B35" s="38" t="s">
        <v>28</v>
      </c>
      <c r="C35" s="39"/>
      <c r="D35" s="39"/>
      <c r="E35" s="39"/>
      <c r="F35" s="40"/>
      <c r="G35" s="15" t="s">
        <v>26</v>
      </c>
    </row>
    <row r="36" spans="2:7" ht="24.75" customHeight="1">
      <c r="B36" s="41" t="s">
        <v>29</v>
      </c>
      <c r="C36" s="42"/>
      <c r="D36" s="42"/>
      <c r="E36" s="42"/>
      <c r="F36" s="43"/>
      <c r="G36" s="17" t="str">
        <f>IF(AND(G15="SIM",G18="SIM",G21="SIM",G24="SIM",G27="SIM",G29="SIM",G32="SIM",G33="SIM",G34="SIM",G35="SIM"),"SIM","NÃO")</f>
        <v>NÃO</v>
      </c>
    </row>
    <row r="37" spans="2:7" ht="27" customHeight="1">
      <c r="B37" s="44" t="s">
        <v>30</v>
      </c>
      <c r="C37" s="39"/>
      <c r="D37" s="39"/>
      <c r="E37" s="39"/>
      <c r="F37" s="39"/>
      <c r="G37" s="40"/>
    </row>
    <row r="38" spans="2:7" ht="14.45" customHeight="1">
      <c r="B38" s="18" t="s">
        <v>31</v>
      </c>
      <c r="C38" s="19"/>
      <c r="D38" s="19"/>
      <c r="E38" s="19"/>
      <c r="F38" s="19"/>
      <c r="G38" s="20"/>
    </row>
    <row r="39" spans="2:7" ht="14.45" customHeight="1">
      <c r="B39" s="21" t="s">
        <v>32</v>
      </c>
      <c r="C39"/>
      <c r="D39"/>
      <c r="E39"/>
      <c r="F39"/>
      <c r="G39" s="22"/>
    </row>
    <row r="40" spans="2:7" ht="14.45" customHeight="1">
      <c r="B40" s="21" t="s">
        <v>33</v>
      </c>
      <c r="C40"/>
      <c r="D40"/>
      <c r="E40"/>
      <c r="F40"/>
      <c r="G40" s="22"/>
    </row>
    <row r="41" spans="2:7" ht="14.45" customHeight="1">
      <c r="B41" s="21" t="s">
        <v>34</v>
      </c>
      <c r="C41"/>
      <c r="D41"/>
      <c r="E41"/>
      <c r="F41"/>
      <c r="G41" s="22"/>
    </row>
    <row r="42" spans="2:7" ht="14.45" customHeight="1">
      <c r="B42" s="21" t="s">
        <v>35</v>
      </c>
      <c r="C42"/>
      <c r="D42"/>
      <c r="E42"/>
      <c r="F42"/>
      <c r="G42" s="22"/>
    </row>
    <row r="43" spans="2:7" ht="14.45" customHeight="1">
      <c r="B43" s="21" t="s">
        <v>36</v>
      </c>
      <c r="C43"/>
      <c r="D43"/>
      <c r="E43"/>
      <c r="F43"/>
      <c r="G43" s="22"/>
    </row>
    <row r="44" spans="2:7" ht="14.45" customHeight="1">
      <c r="B44" s="21" t="s">
        <v>37</v>
      </c>
      <c r="C44"/>
      <c r="D44"/>
      <c r="E44"/>
      <c r="F44"/>
      <c r="G44" s="22"/>
    </row>
    <row r="45" spans="2:7" ht="14.45" customHeight="1">
      <c r="B45" s="21" t="s">
        <v>38</v>
      </c>
      <c r="C45"/>
      <c r="D45"/>
      <c r="E45"/>
      <c r="F45"/>
      <c r="G45" s="22"/>
    </row>
    <row r="46" spans="2:7" ht="14.45" customHeight="1">
      <c r="B46" s="21" t="s">
        <v>39</v>
      </c>
      <c r="C46"/>
      <c r="D46"/>
      <c r="E46"/>
      <c r="F46"/>
      <c r="G46" s="22"/>
    </row>
    <row r="47" spans="2:7" ht="14.45" customHeight="1">
      <c r="B47" s="21" t="s">
        <v>40</v>
      </c>
      <c r="C47"/>
      <c r="D47"/>
      <c r="E47"/>
      <c r="F47"/>
      <c r="G47" s="22"/>
    </row>
    <row r="48" spans="2:7" ht="14.45" customHeight="1">
      <c r="B48" s="21" t="s">
        <v>41</v>
      </c>
      <c r="C48"/>
      <c r="D48"/>
      <c r="E48"/>
      <c r="F48"/>
      <c r="G48" s="22"/>
    </row>
    <row r="49" spans="2:7" ht="14.45" customHeight="1">
      <c r="B49" s="21" t="s">
        <v>42</v>
      </c>
      <c r="C49"/>
      <c r="D49"/>
      <c r="E49"/>
      <c r="F49"/>
      <c r="G49" s="22"/>
    </row>
    <row r="50" spans="2:7" ht="14.45" customHeight="1">
      <c r="B50" s="21" t="s">
        <v>43</v>
      </c>
      <c r="C50"/>
      <c r="D50"/>
      <c r="E50"/>
      <c r="F50"/>
      <c r="G50" s="22"/>
    </row>
    <row r="51" spans="2:7" ht="14.45" customHeight="1">
      <c r="B51" s="21" t="s">
        <v>44</v>
      </c>
      <c r="C51"/>
      <c r="D51"/>
      <c r="E51"/>
      <c r="F51"/>
      <c r="G51" s="22"/>
    </row>
    <row r="52" spans="2:7" ht="14.45" customHeight="1">
      <c r="B52" s="21" t="s">
        <v>45</v>
      </c>
      <c r="C52"/>
      <c r="D52"/>
      <c r="E52"/>
      <c r="F52"/>
      <c r="G52" s="22"/>
    </row>
    <row r="53" spans="2:7" ht="14.45" customHeight="1">
      <c r="B53" s="21" t="s">
        <v>46</v>
      </c>
      <c r="C53"/>
      <c r="D53"/>
      <c r="E53"/>
      <c r="F53"/>
      <c r="G53" s="22"/>
    </row>
    <row r="54" spans="2:7" ht="14.45" customHeight="1">
      <c r="B54" s="21" t="s">
        <v>47</v>
      </c>
      <c r="C54"/>
      <c r="D54"/>
      <c r="E54"/>
      <c r="F54"/>
      <c r="G54" s="22"/>
    </row>
    <row r="55" spans="2:7" ht="14.45" customHeight="1">
      <c r="B55" s="21" t="s">
        <v>48</v>
      </c>
      <c r="C55"/>
      <c r="D55"/>
      <c r="E55"/>
      <c r="F55"/>
      <c r="G55" s="22"/>
    </row>
    <row r="56" spans="2:7" ht="14.45" customHeight="1">
      <c r="B56" s="23" t="s">
        <v>49</v>
      </c>
      <c r="C56" s="24"/>
      <c r="D56" s="24"/>
      <c r="E56" s="24"/>
      <c r="F56" s="24"/>
      <c r="G56" s="25"/>
    </row>
    <row r="57" spans="2:7" ht="33" customHeight="1">
      <c r="B57" s="26"/>
      <c r="C57" s="27"/>
      <c r="D57" s="27"/>
      <c r="E57" s="28" t="s">
        <v>50</v>
      </c>
      <c r="F57" s="29">
        <v>46182</v>
      </c>
      <c r="G57" s="30"/>
    </row>
    <row r="58" spans="2:7" ht="36" customHeight="1">
      <c r="B58" s="31"/>
      <c r="C58" s="50" t="s">
        <v>51</v>
      </c>
      <c r="D58" s="50"/>
      <c r="E58" s="32"/>
      <c r="F58" s="32"/>
      <c r="G58" s="33"/>
    </row>
  </sheetData>
  <mergeCells count="34">
    <mergeCell ref="C58:D58"/>
    <mergeCell ref="B17:F17"/>
    <mergeCell ref="B6:G6"/>
    <mergeCell ref="C7:D7"/>
    <mergeCell ref="F7:G7"/>
    <mergeCell ref="C8:D8"/>
    <mergeCell ref="F8:G8"/>
    <mergeCell ref="C9:D9"/>
    <mergeCell ref="F9:G9"/>
    <mergeCell ref="B12:F12"/>
    <mergeCell ref="B13:F13"/>
    <mergeCell ref="B14:F14"/>
    <mergeCell ref="B15:F15"/>
    <mergeCell ref="B16:F16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34:F34"/>
    <mergeCell ref="B35:F35"/>
    <mergeCell ref="B36:F36"/>
    <mergeCell ref="B37:G37"/>
    <mergeCell ref="B29:F29"/>
    <mergeCell ref="B30:F30"/>
    <mergeCell ref="B31:F31"/>
    <mergeCell ref="B32:F32"/>
    <mergeCell ref="B33:F33"/>
  </mergeCells>
  <dataValidations count="2">
    <dataValidation type="date" operator="lessThan" allowBlank="1" showInputMessage="1" showErrorMessage="1" sqref="G13" xr:uid="{4115F52F-CFB1-4B53-BA0B-932B2959D852}">
      <formula1>TODAY()</formula1>
    </dataValidation>
    <dataValidation type="list" allowBlank="1" showInputMessage="1" showErrorMessage="1" sqref="F9:G9" xr:uid="{068C05B7-E485-4C24-86A0-B2EF993212CC}">
      <formula1>"Fiscal, Custody Transfer, Allocation, Operational"</formula1>
    </dataValidation>
  </dataValidations>
  <pageMargins left="0.3" right="0.3" top="0.3" bottom="0.3" header="0.31496062000000002" footer="0.31496062000000002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e19aaa-3d3b-446e-a389-67c444837401">
      <Terms xmlns="http://schemas.microsoft.com/office/infopath/2007/PartnerControls"/>
    </lcf76f155ced4ddcb4097134ff3c332f>
    <ArchiverLinkFileType xmlns="a7e19aaa-3d3b-446e-a389-67c444837401" xsi:nil="true"/>
    <TaxCatchAll xmlns="1600433d-07c7-4ada-894c-30a4f86540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E89F56D2CAEE4E896051DD87601AA2" ma:contentTypeVersion="149" ma:contentTypeDescription="Create a new document." ma:contentTypeScope="" ma:versionID="3314a8a9214371c72aa832e8649ab09d">
  <xsd:schema xmlns:xsd="http://www.w3.org/2001/XMLSchema" xmlns:xs="http://www.w3.org/2001/XMLSchema" xmlns:p="http://schemas.microsoft.com/office/2006/metadata/properties" xmlns:ns2="a7e19aaa-3d3b-446e-a389-67c444837401" xmlns:ns3="1600433d-07c7-4ada-894c-30a4f8654024" targetNamespace="http://schemas.microsoft.com/office/2006/metadata/properties" ma:root="true" ma:fieldsID="0261cb5fa3ac9cbc9e01fa53fba572cd" ns2:_="" ns3:_="">
    <xsd:import namespace="a7e19aaa-3d3b-446e-a389-67c444837401"/>
    <xsd:import namespace="1600433d-07c7-4ada-894c-30a4f86540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19aaa-3d3b-446e-a389-67c444837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ab494fb-5f8f-411e-b963-528add18cf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4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0433d-07c7-4ada-894c-30a4f865402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4826b6-37cd-4c3f-a2d1-9d8a78307962}" ma:internalName="TaxCatchAll" ma:showField="CatchAllData" ma:web="1600433d-07c7-4ada-894c-30a4f86540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85332D-13CE-4AC6-927D-8032625183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122C99-79D0-4ABA-9118-1D66D93DE668}">
  <ds:schemaRefs>
    <ds:schemaRef ds:uri="http://schemas.openxmlformats.org/package/2006/metadata/core-properties"/>
    <ds:schemaRef ds:uri="http://purl.org/dc/terms/"/>
    <ds:schemaRef ds:uri="1600433d-07c7-4ada-894c-30a4f8654024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a7e19aaa-3d3b-446e-a389-67c44483740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88F7F70-45CE-4A55-8161-BC3209DE4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e19aaa-3d3b-446e-a389-67c444837401"/>
    <ds:schemaRef ds:uri="1600433d-07c7-4ada-894c-30a4f86540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262e4a3-79a6-4875-bd93-a84ecf27da0a}" enabled="0" method="" siteId="{9262e4a3-79a6-4875-bd93-a84ecf27da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Primários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Galdino (External)</dc:creator>
  <cp:lastModifiedBy>Matheus Bandeira</cp:lastModifiedBy>
  <cp:lastPrinted>2026-06-16T18:11:23Z</cp:lastPrinted>
  <dcterms:created xsi:type="dcterms:W3CDTF">2026-06-03T13:06:30Z</dcterms:created>
  <dcterms:modified xsi:type="dcterms:W3CDTF">2026-09-29T15:51:36Z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0x01010008E89F56D2CAEE4E896051DD87601AA2</vt:lpwstr>
  </property>
  <property fmtid="{D5CDD505-2E9C-101B-9397-08002B2CF9AE}" pid="3" name="MediaServiceImageTags">
    <vt:lpwstr/>
  </property>
</Properties>
</file>