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4080" windowWidth="29040" windowHeight="15720" tabRatio="600" firstSheet="0" activeTab="0" autoFilterDateGrouping="1"/>
  </bookViews>
  <sheets>
    <sheet xmlns:r="http://schemas.openxmlformats.org/officeDocument/2006/relationships" name="Linearização" sheetId="1" state="visible" r:id="rId1"/>
    <sheet xmlns:r="http://schemas.openxmlformats.org/officeDocument/2006/relationships" name="Falha Presumida" sheetId="2" state="visible" r:id="rId2"/>
  </sheets>
  <definedNames>
    <definedName name="_xlnm.Print_Area" localSheetId="0">'Linearização'!$B$2:$U$100</definedName>
    <definedName name="_xlnm.Print_Area" localSheetId="1">'Falha Presumida'!$B$2:$U$127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\-mmm\-yyyy"/>
    <numFmt numFmtId="165" formatCode="[$-416]d\ \ mmmm\,\ yyyy;@"/>
    <numFmt numFmtId="166" formatCode="0.000"/>
    <numFmt numFmtId="167" formatCode="0.0"/>
    <numFmt numFmtId="168" formatCode="0.00000"/>
    <numFmt numFmtId="169" formatCode="0.0000"/>
    <numFmt numFmtId="170" formatCode="General\ &quot;m³/h&quot;"/>
  </numFmts>
  <fonts count="13">
    <font>
      <name val="Aptos Narrow"/>
      <family val="2"/>
      <color theme="1"/>
      <sz val="11"/>
      <scheme val="minor"/>
    </font>
    <font>
      <name val="Calibri"/>
      <family val="2"/>
      <sz val="12"/>
    </font>
    <font>
      <name val="Calibri"/>
      <family val="2"/>
      <color theme="1"/>
      <sz val="11"/>
    </font>
    <font>
      <name val="Calibri"/>
      <family val="2"/>
      <b val="1"/>
      <sz val="12"/>
    </font>
    <font>
      <name val="Calibri"/>
      <family val="2"/>
      <b val="1"/>
      <color theme="1"/>
      <sz val="11"/>
    </font>
    <font>
      <name val="Calibri"/>
      <family val="2"/>
      <b val="1"/>
      <sz val="14"/>
    </font>
    <font>
      <name val="Calibri"/>
      <family val="2"/>
      <b val="1"/>
      <sz val="22"/>
    </font>
    <font>
      <name val="Calibri"/>
      <family val="2"/>
      <i val="1"/>
      <color indexed="8"/>
      <sz val="11"/>
    </font>
    <font>
      <name val="Aptos Narrow"/>
      <family val="2"/>
      <sz val="8"/>
      <scheme val="minor"/>
    </font>
    <font>
      <name val="Calibri"/>
      <family val="2"/>
      <b val="1"/>
      <color theme="1"/>
      <sz val="14"/>
    </font>
    <font>
      <name val="Calibri"/>
      <family val="2"/>
      <color indexed="8"/>
      <sz val="11"/>
    </font>
    <font>
      <name val="Calibri"/>
      <family val="2"/>
      <b val="1"/>
      <sz val="10"/>
    </font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7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indexed="64"/>
      </right>
      <top style="medium">
        <color theme="1"/>
      </top>
      <bottom/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/>
      <diagonal/>
    </border>
  </borders>
  <cellStyleXfs count="3">
    <xf numFmtId="0" fontId="12" fillId="0" borderId="0"/>
    <xf numFmtId="0" fontId="12" fillId="0" borderId="0"/>
    <xf numFmtId="9" fontId="12" fillId="0" borderId="0"/>
  </cellStyleXfs>
  <cellXfs count="357">
    <xf numFmtId="0" fontId="0" fillId="0" borderId="0" pivotButton="0" quotePrefix="0" xfId="0"/>
    <xf numFmtId="0" fontId="1" fillId="0" borderId="0" applyProtection="1" pivotButton="0" quotePrefix="0" xfId="0">
      <protection locked="1" hidden="1"/>
    </xf>
    <xf numFmtId="0" fontId="2" fillId="0" borderId="0" pivotButton="0" quotePrefix="0" xfId="0"/>
    <xf numFmtId="0" fontId="3" fillId="0" borderId="0" applyAlignment="1" applyProtection="1" pivotButton="0" quotePrefix="0" xfId="0">
      <alignment horizontal="center" vertical="center" wrapText="1"/>
      <protection locked="1" hidden="1"/>
    </xf>
    <xf numFmtId="0" fontId="1" fillId="0" borderId="0" applyAlignment="1" applyProtection="1" pivotButton="0" quotePrefix="0" xfId="0">
      <alignment vertical="center"/>
      <protection locked="1" hidden="1"/>
    </xf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1" fillId="0" borderId="6" applyProtection="1" pivotButton="0" quotePrefix="0" xfId="0">
      <protection locked="1" hidden="1"/>
    </xf>
    <xf numFmtId="0" fontId="1" fillId="0" borderId="7" applyProtection="1" pivotButton="0" quotePrefix="0" xfId="0">
      <protection locked="1" hidden="1"/>
    </xf>
    <xf numFmtId="0" fontId="3" fillId="0" borderId="7" applyAlignment="1" applyProtection="1" pivotButton="0" quotePrefix="0" xfId="0">
      <alignment horizontal="center" vertical="center" wrapText="1"/>
      <protection locked="1" hidden="1"/>
    </xf>
    <xf numFmtId="0" fontId="1" fillId="0" borderId="7" applyAlignment="1" applyProtection="1" pivotButton="0" quotePrefix="0" xfId="0">
      <alignment horizontal="center" vertical="center" wrapText="1"/>
      <protection locked="1" hidden="1"/>
    </xf>
    <xf numFmtId="0" fontId="1" fillId="0" borderId="6" applyAlignment="1" applyProtection="1" pivotButton="0" quotePrefix="0" xfId="0">
      <alignment vertical="center"/>
      <protection locked="1" hidden="1"/>
    </xf>
    <xf numFmtId="0" fontId="1" fillId="0" borderId="7" applyAlignment="1" applyProtection="1" pivotButton="0" quotePrefix="0" xfId="0">
      <alignment vertical="center"/>
      <protection locked="1" hidden="1"/>
    </xf>
    <xf numFmtId="0" fontId="4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applyProtection="1" pivotButton="0" quotePrefix="0" xfId="0">
      <alignment horizontal="left" vertical="center" wrapText="1"/>
      <protection locked="1" hidden="1"/>
    </xf>
    <xf numFmtId="0" fontId="3" fillId="0" borderId="0" applyAlignment="1" applyProtection="1" pivotButton="0" quotePrefix="0" xfId="0">
      <alignment vertical="center" wrapText="1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0" fontId="3" fillId="0" borderId="0" applyProtection="1" pivotButton="0" quotePrefix="0" xfId="0">
      <protection locked="1" hidden="1"/>
    </xf>
    <xf numFmtId="0" fontId="4" fillId="0" borderId="0" pivotButton="0" quotePrefix="0" xfId="0"/>
    <xf numFmtId="0" fontId="9" fillId="0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3" fillId="0" borderId="0" applyProtection="1" pivotButton="0" quotePrefix="0" xfId="0">
      <protection locked="0" hidden="0"/>
    </xf>
    <xf numFmtId="0" fontId="11" fillId="0" borderId="0" applyProtection="1" pivotButton="0" quotePrefix="0" xfId="0">
      <protection locked="0" hidden="0"/>
    </xf>
    <xf numFmtId="0" fontId="3" fillId="0" borderId="2" applyProtection="1" pivotButton="0" quotePrefix="0" xfId="0">
      <protection locked="1" hidden="1"/>
    </xf>
    <xf numFmtId="164" fontId="3" fillId="0" borderId="0" applyAlignment="1" applyProtection="1" pivotButton="0" quotePrefix="0" xfId="0">
      <alignment horizontal="left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0" fontId="6" fillId="0" borderId="0" applyAlignment="1" applyProtection="1" pivotButton="0" quotePrefix="0" xfId="0">
      <alignment horizontal="center" vertical="center" wrapText="1"/>
      <protection locked="1" hidden="1"/>
    </xf>
    <xf numFmtId="0" fontId="1" fillId="0" borderId="0" applyAlignment="1" applyProtection="1" pivotButton="0" quotePrefix="0" xfId="0">
      <alignment horizontal="center" vertical="center" wrapText="1"/>
      <protection locked="1" hidden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6" fontId="2" fillId="0" borderId="24" pivotButton="0" quotePrefix="0" xfId="0"/>
    <xf numFmtId="166" fontId="2" fillId="0" borderId="25" pivotButton="0" quotePrefix="0" xfId="0"/>
    <xf numFmtId="0" fontId="2" fillId="0" borderId="0" applyAlignment="1" pivotButton="0" quotePrefix="0" xfId="0">
      <alignment horizontal="right"/>
    </xf>
    <xf numFmtId="166" fontId="2" fillId="0" borderId="0" applyAlignment="1" pivotButton="0" quotePrefix="0" xfId="0">
      <alignment horizontal="center"/>
    </xf>
    <xf numFmtId="0" fontId="2" fillId="0" borderId="9" applyAlignment="1" pivotButton="0" quotePrefix="0" xfId="1">
      <alignment horizontal="center" vertical="center"/>
    </xf>
    <xf numFmtId="0" fontId="2" fillId="0" borderId="19" pivotButton="0" quotePrefix="0" xfId="0"/>
    <xf numFmtId="0" fontId="2" fillId="0" borderId="33" applyAlignment="1" pivotButton="0" quotePrefix="0" xfId="0">
      <alignment horizontal="center"/>
    </xf>
    <xf numFmtId="1" fontId="2" fillId="0" borderId="27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0" fontId="2" fillId="0" borderId="25" pivotButton="0" quotePrefix="0" xfId="0"/>
    <xf numFmtId="0" fontId="2" fillId="0" borderId="2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2" fillId="0" borderId="38" applyAlignment="1" pivotButton="0" quotePrefix="0" xfId="0">
      <alignment horizontal="center" vertical="center"/>
    </xf>
    <xf numFmtId="0" fontId="2" fillId="0" borderId="9" applyAlignment="1" pivotButton="0" quotePrefix="0" xfId="1">
      <alignment horizontal="center" vertical="center" wrapText="1"/>
    </xf>
    <xf numFmtId="0" fontId="4" fillId="0" borderId="11" applyAlignment="1" pivotButton="0" quotePrefix="0" xfId="0">
      <alignment horizontal="center"/>
    </xf>
    <xf numFmtId="0" fontId="1" fillId="0" borderId="0" applyAlignment="1" applyProtection="1" pivotButton="0" quotePrefix="0" xfId="0">
      <alignment vertical="center" wrapText="1"/>
      <protection locked="1" hidden="1"/>
    </xf>
    <xf numFmtId="0" fontId="2" fillId="0" borderId="11" applyAlignment="1" pivotButton="0" quotePrefix="0" xfId="0">
      <alignment horizontal="center"/>
    </xf>
    <xf numFmtId="10" fontId="2" fillId="0" borderId="30" applyAlignment="1" pivotButton="0" quotePrefix="0" xfId="2">
      <alignment horizontal="center"/>
    </xf>
    <xf numFmtId="10" fontId="2" fillId="0" borderId="38" applyAlignment="1" pivotButton="0" quotePrefix="0" xfId="2">
      <alignment horizontal="center"/>
    </xf>
    <xf numFmtId="167" fontId="2" fillId="0" borderId="0" pivotButton="0" quotePrefix="0" xfId="0"/>
    <xf numFmtId="0" fontId="2" fillId="0" borderId="22" applyAlignment="1" pivotButton="0" quotePrefix="0" xfId="0">
      <alignment horizontal="center"/>
    </xf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/>
    </xf>
    <xf numFmtId="0" fontId="2" fillId="0" borderId="8" applyAlignment="1" pivotButton="0" quotePrefix="0" xfId="0">
      <alignment horizontal="center"/>
    </xf>
    <xf numFmtId="1" fontId="2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2" fontId="2" fillId="0" borderId="0" pivotButton="0" quotePrefix="0" xfId="0"/>
    <xf numFmtId="0" fontId="2" fillId="0" borderId="32" applyAlignment="1" pivotButton="0" quotePrefix="0" xfId="0">
      <alignment horizontal="center"/>
    </xf>
    <xf numFmtId="0" fontId="2" fillId="0" borderId="45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10" fontId="2" fillId="0" borderId="48" applyAlignment="1" pivotButton="0" quotePrefix="0" xfId="2">
      <alignment horizontal="center"/>
    </xf>
    <xf numFmtId="0" fontId="2" fillId="0" borderId="48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0" fontId="2" fillId="0" borderId="44" applyAlignment="1" pivotButton="0" quotePrefix="0" xfId="0">
      <alignment horizontal="center"/>
    </xf>
    <xf numFmtId="0" fontId="4" fillId="0" borderId="53" applyAlignment="1" pivotButton="0" quotePrefix="0" xfId="0">
      <alignment horizontal="center" vertical="center" wrapText="1"/>
    </xf>
    <xf numFmtId="0" fontId="1" fillId="0" borderId="0" applyAlignment="1" applyProtection="1" pivotButton="0" quotePrefix="0" xfId="0">
      <alignment horizontal="center"/>
      <protection locked="1" hidden="1"/>
    </xf>
    <xf numFmtId="0" fontId="1" fillId="0" borderId="0" applyAlignment="1" applyProtection="1" pivotButton="0" quotePrefix="0" xfId="0">
      <alignment horizontal="center" vertical="center"/>
      <protection locked="1" hidden="1"/>
    </xf>
    <xf numFmtId="168" fontId="2" fillId="0" borderId="0" applyAlignment="1" pivotButton="0" quotePrefix="0" xfId="0">
      <alignment horizontal="center"/>
    </xf>
    <xf numFmtId="10" fontId="2" fillId="0" borderId="0" pivotButton="0" quotePrefix="0" xfId="2"/>
    <xf numFmtId="1" fontId="2" fillId="0" borderId="56" applyAlignment="1" pivotButton="0" quotePrefix="0" xfId="0">
      <alignment horizontal="center" vertical="center"/>
    </xf>
    <xf numFmtId="0" fontId="2" fillId="0" borderId="35" applyAlignment="1" pivotButton="0" quotePrefix="0" xfId="0">
      <alignment horizontal="center" vertical="center"/>
    </xf>
    <xf numFmtId="1" fontId="2" fillId="0" borderId="42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1" fontId="2" fillId="0" borderId="43" applyAlignment="1" pivotButton="0" quotePrefix="0" xfId="0">
      <alignment horizontal="center" vertical="center"/>
    </xf>
    <xf numFmtId="10" fontId="2" fillId="0" borderId="56" applyAlignment="1" pivotButton="0" quotePrefix="0" xfId="2">
      <alignment horizontal="center"/>
    </xf>
    <xf numFmtId="10" fontId="2" fillId="0" borderId="42" applyAlignment="1" pivotButton="0" quotePrefix="0" xfId="2">
      <alignment horizontal="center"/>
    </xf>
    <xf numFmtId="10" fontId="2" fillId="0" borderId="43" applyAlignment="1" pivotButton="0" quotePrefix="0" xfId="2">
      <alignment horizontal="center"/>
    </xf>
    <xf numFmtId="2" fontId="2" fillId="0" borderId="22" applyAlignment="1" pivotButton="0" quotePrefix="1" xfId="0">
      <alignment horizontal="center"/>
    </xf>
    <xf numFmtId="2" fontId="2" fillId="0" borderId="23" applyAlignment="1" pivotButton="0" quotePrefix="0" xfId="0">
      <alignment horizontal="center"/>
    </xf>
    <xf numFmtId="168" fontId="2" fillId="0" borderId="18" applyAlignment="1" pivotButton="0" quotePrefix="0" xfId="0">
      <alignment horizontal="center"/>
    </xf>
    <xf numFmtId="168" fontId="2" fillId="0" borderId="19" applyAlignment="1" pivotButton="0" quotePrefix="0" xfId="0">
      <alignment horizontal="center"/>
    </xf>
    <xf numFmtId="2" fontId="2" fillId="0" borderId="24" applyAlignment="1" pivotButton="0" quotePrefix="0" xfId="0">
      <alignment horizontal="center"/>
    </xf>
    <xf numFmtId="2" fontId="2" fillId="0" borderId="25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169" fontId="2" fillId="0" borderId="14" applyAlignment="1" pivotButton="0" quotePrefix="0" xfId="0">
      <alignment horizontal="center"/>
    </xf>
    <xf numFmtId="169" fontId="2" fillId="0" borderId="15" applyAlignment="1" pivotButton="0" quotePrefix="0" xfId="0">
      <alignment horizontal="center"/>
    </xf>
    <xf numFmtId="1" fontId="2" fillId="0" borderId="56" applyAlignment="1" pivotButton="0" quotePrefix="0" xfId="0">
      <alignment horizontal="center"/>
    </xf>
    <xf numFmtId="1" fontId="2" fillId="0" borderId="14" applyAlignment="1" pivotButton="0" quotePrefix="0" xfId="0">
      <alignment horizontal="center"/>
    </xf>
    <xf numFmtId="2" fontId="2" fillId="0" borderId="37" applyAlignment="1" pivotButton="0" quotePrefix="0" xfId="0">
      <alignment horizontal="center"/>
    </xf>
    <xf numFmtId="2" fontId="2" fillId="0" borderId="34" applyAlignment="1" pivotButton="0" quotePrefix="0" xfId="0">
      <alignment horizontal="center"/>
    </xf>
    <xf numFmtId="2" fontId="2" fillId="0" borderId="56" applyAlignment="1" pivotButton="0" quotePrefix="0" xfId="0">
      <alignment horizontal="center"/>
    </xf>
    <xf numFmtId="168" fontId="2" fillId="0" borderId="56" applyAlignment="1" pivotButton="0" quotePrefix="0" xfId="0">
      <alignment horizontal="center"/>
    </xf>
    <xf numFmtId="2" fontId="2" fillId="0" borderId="56" applyAlignment="1" pivotButton="0" quotePrefix="1" xfId="0">
      <alignment horizontal="center"/>
    </xf>
    <xf numFmtId="168" fontId="2" fillId="0" borderId="37" applyAlignment="1" pivotButton="0" quotePrefix="0" xfId="0">
      <alignment horizontal="center"/>
    </xf>
    <xf numFmtId="168" fontId="2" fillId="0" borderId="34" applyAlignment="1" pivotButton="0" quotePrefix="0" xfId="0">
      <alignment horizontal="center"/>
    </xf>
    <xf numFmtId="0" fontId="2" fillId="0" borderId="56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1" fontId="2" fillId="0" borderId="43" applyAlignment="1" pivotButton="0" quotePrefix="0" xfId="0">
      <alignment horizontal="center"/>
    </xf>
    <xf numFmtId="2" fontId="2" fillId="0" borderId="41" applyAlignment="1" pivotButton="0" quotePrefix="0" xfId="0">
      <alignment horizontal="center"/>
    </xf>
    <xf numFmtId="2" fontId="2" fillId="0" borderId="40" applyAlignment="1" pivotButton="0" quotePrefix="0" xfId="0">
      <alignment horizontal="center"/>
    </xf>
    <xf numFmtId="2" fontId="2" fillId="0" borderId="43" applyAlignment="1" pivotButton="0" quotePrefix="0" xfId="0">
      <alignment horizontal="center"/>
    </xf>
    <xf numFmtId="168" fontId="2" fillId="0" borderId="43" applyAlignment="1" pivotButton="0" quotePrefix="0" xfId="0">
      <alignment horizontal="center"/>
    </xf>
    <xf numFmtId="2" fontId="2" fillId="0" borderId="43" applyAlignment="1" pivotButton="0" quotePrefix="1" xfId="0">
      <alignment horizontal="center"/>
    </xf>
    <xf numFmtId="168" fontId="2" fillId="0" borderId="41" applyAlignment="1" pivotButton="0" quotePrefix="0" xfId="0">
      <alignment horizontal="center"/>
    </xf>
    <xf numFmtId="168" fontId="2" fillId="0" borderId="40" applyAlignment="1" pivotButton="0" quotePrefix="0" xfId="0">
      <alignment horizontal="center"/>
    </xf>
    <xf numFmtId="0" fontId="2" fillId="0" borderId="43" applyAlignment="1" pivotButton="0" quotePrefix="0" xfId="0">
      <alignment horizontal="center"/>
    </xf>
    <xf numFmtId="0" fontId="2" fillId="0" borderId="17" applyAlignment="1" pivotButton="0" quotePrefix="0" xfId="0">
      <alignment horizontal="center"/>
    </xf>
    <xf numFmtId="14" fontId="1" fillId="0" borderId="0" applyAlignment="1" applyProtection="1" pivotButton="0" quotePrefix="0" xfId="0">
      <alignment horizontal="left" vertical="center"/>
      <protection locked="1" hidden="1"/>
    </xf>
    <xf numFmtId="0" fontId="1" fillId="0" borderId="0" applyAlignment="1" applyProtection="1" pivotButton="0" quotePrefix="0" xfId="0">
      <alignment horizontal="left" vertical="center"/>
      <protection locked="1" hidden="1"/>
    </xf>
    <xf numFmtId="0" fontId="2" fillId="0" borderId="42" applyAlignment="1" pivotButton="0" quotePrefix="0" xfId="0">
      <alignment horizontal="center"/>
    </xf>
    <xf numFmtId="0" fontId="2" fillId="0" borderId="36" applyAlignment="1" pivotButton="0" quotePrefix="0" xfId="0">
      <alignment horizontal="center"/>
    </xf>
    <xf numFmtId="2" fontId="2" fillId="0" borderId="42" applyAlignment="1" pivotButton="0" quotePrefix="0" xfId="0">
      <alignment horizontal="center"/>
    </xf>
    <xf numFmtId="1" fontId="2" fillId="0" borderId="35" applyAlignment="1" pivotButton="0" quotePrefix="0" xfId="0">
      <alignment horizontal="center"/>
    </xf>
    <xf numFmtId="1" fontId="2" fillId="0" borderId="42" applyAlignment="1" pivotButton="0" quotePrefix="0" xfId="0">
      <alignment horizontal="center"/>
    </xf>
    <xf numFmtId="168" fontId="2" fillId="0" borderId="42" applyAlignment="1" pivotButton="0" quotePrefix="0" xfId="0">
      <alignment horizontal="center"/>
    </xf>
    <xf numFmtId="2" fontId="2" fillId="0" borderId="42" applyAlignment="1" pivotButton="0" quotePrefix="1" xfId="0">
      <alignment horizontal="center"/>
    </xf>
    <xf numFmtId="0" fontId="5" fillId="0" borderId="11" applyAlignment="1" applyProtection="1" pivotButton="0" quotePrefix="0" xfId="0">
      <alignment horizontal="center" vertical="center" wrapText="1"/>
      <protection locked="1" hidden="1"/>
    </xf>
    <xf numFmtId="0" fontId="5" fillId="0" borderId="12" applyAlignment="1" applyProtection="1" pivotButton="0" quotePrefix="0" xfId="0">
      <alignment horizontal="center" vertical="center" wrapText="1"/>
      <protection locked="1" hidden="1"/>
    </xf>
    <xf numFmtId="0" fontId="5" fillId="0" borderId="13" applyAlignment="1" applyProtection="1" pivotButton="0" quotePrefix="0" xfId="0">
      <alignment horizontal="center" vertical="center" wrapText="1"/>
      <protection locked="1" hidden="1"/>
    </xf>
    <xf numFmtId="0" fontId="9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4" fillId="0" borderId="49" applyAlignment="1" pivotButton="0" quotePrefix="0" xfId="0">
      <alignment horizontal="center"/>
    </xf>
    <xf numFmtId="0" fontId="4" fillId="0" borderId="50" applyAlignment="1" pivotButton="0" quotePrefix="0" xfId="0">
      <alignment horizontal="center"/>
    </xf>
    <xf numFmtId="0" fontId="4" fillId="0" borderId="57" applyAlignment="1" pivotButton="0" quotePrefix="0" xfId="0">
      <alignment horizontal="center"/>
    </xf>
    <xf numFmtId="0" fontId="4" fillId="0" borderId="51" applyAlignment="1" pivotButton="0" quotePrefix="0" xfId="0">
      <alignment horizontal="center"/>
    </xf>
    <xf numFmtId="0" fontId="4" fillId="0" borderId="52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0" fontId="1" fillId="0" borderId="0" applyAlignment="1" applyProtection="1" pivotButton="0" quotePrefix="0" xfId="0">
      <alignment horizontal="left" vertical="center" wrapText="1"/>
      <protection locked="1" hidden="1"/>
    </xf>
    <xf numFmtId="170" fontId="1" fillId="0" borderId="0" applyAlignment="1" applyProtection="1" pivotButton="0" quotePrefix="0" xfId="0">
      <alignment horizontal="left" vertical="center" wrapText="1"/>
      <protection locked="1" hidden="1"/>
    </xf>
    <xf numFmtId="0" fontId="3" fillId="0" borderId="0" applyAlignment="1" applyProtection="1" pivotButton="0" quotePrefix="0" xfId="0">
      <alignment horizontal="left" vertical="center"/>
      <protection locked="1" hidden="1"/>
    </xf>
    <xf numFmtId="0" fontId="3" fillId="0" borderId="0" applyAlignment="1" applyProtection="1" pivotButton="0" quotePrefix="0" xfId="0">
      <alignment horizontal="left"/>
      <protection locked="1" hidden="1"/>
    </xf>
    <xf numFmtId="0" fontId="3" fillId="0" borderId="0" applyAlignment="1" applyProtection="1" pivotButton="0" quotePrefix="0" xfId="0">
      <alignment horizontal="left" vertical="center" wrapText="1"/>
      <protection locked="1" hidden="1"/>
    </xf>
    <xf numFmtId="168" fontId="2" fillId="0" borderId="24" applyAlignment="1" pivotButton="0" quotePrefix="0" xfId="0">
      <alignment horizontal="center"/>
    </xf>
    <xf numFmtId="168" fontId="2" fillId="0" borderId="25" applyAlignment="1" pivotButton="0" quotePrefix="0" xfId="0">
      <alignment horizontal="center"/>
    </xf>
    <xf numFmtId="169" fontId="2" fillId="0" borderId="22" applyAlignment="1" pivotButton="0" quotePrefix="0" xfId="0">
      <alignment horizontal="center"/>
    </xf>
    <xf numFmtId="169" fontId="2" fillId="0" borderId="23" applyAlignment="1" pivotButton="0" quotePrefix="0" xfId="0">
      <alignment horizontal="center"/>
    </xf>
    <xf numFmtId="2" fontId="2" fillId="0" borderId="14" applyAlignment="1" pivotButton="0" quotePrefix="0" xfId="0">
      <alignment horizontal="center"/>
    </xf>
    <xf numFmtId="2" fontId="2" fillId="0" borderId="15" applyAlignment="1" pivotButton="0" quotePrefix="0" xfId="0">
      <alignment horizontal="center"/>
    </xf>
    <xf numFmtId="1" fontId="2" fillId="0" borderId="18" applyAlignment="1" pivotButton="0" quotePrefix="0" xfId="0">
      <alignment horizontal="center"/>
    </xf>
    <xf numFmtId="1" fontId="2" fillId="0" borderId="19" applyAlignment="1" pivotButton="0" quotePrefix="0" xfId="0">
      <alignment horizontal="center"/>
    </xf>
    <xf numFmtId="0" fontId="6" fillId="0" borderId="3" applyAlignment="1" applyProtection="1" pivotButton="0" quotePrefix="0" xfId="0">
      <alignment horizontal="center" vertical="center" wrapText="1"/>
      <protection locked="1" hidden="1"/>
    </xf>
    <xf numFmtId="0" fontId="6" fillId="0" borderId="4" applyAlignment="1" applyProtection="1" pivotButton="0" quotePrefix="0" xfId="0">
      <alignment horizontal="center" vertical="center" wrapText="1"/>
      <protection locked="1" hidden="1"/>
    </xf>
    <xf numFmtId="0" fontId="6" fillId="0" borderId="5" applyAlignment="1" applyProtection="1" pivotButton="0" quotePrefix="0" xfId="0">
      <alignment horizontal="center" vertical="center" wrapText="1"/>
      <protection locked="1" hidden="1"/>
    </xf>
    <xf numFmtId="0" fontId="6" fillId="0" borderId="6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applyProtection="1" pivotButton="0" quotePrefix="0" xfId="0">
      <alignment horizontal="center" vertical="center" wrapText="1"/>
      <protection locked="1" hidden="1"/>
    </xf>
    <xf numFmtId="0" fontId="6" fillId="0" borderId="7" applyAlignment="1" applyProtection="1" pivotButton="0" quotePrefix="0" xfId="0">
      <alignment horizontal="center" vertical="center" wrapText="1"/>
      <protection locked="1" hidden="1"/>
    </xf>
    <xf numFmtId="0" fontId="6" fillId="0" borderId="8" applyAlignment="1" applyProtection="1" pivotButton="0" quotePrefix="0" xfId="0">
      <alignment horizontal="center" vertical="center" wrapText="1"/>
      <protection locked="1" hidden="1"/>
    </xf>
    <xf numFmtId="0" fontId="6" fillId="0" borderId="9" applyAlignment="1" applyProtection="1" pivotButton="0" quotePrefix="0" xfId="0">
      <alignment horizontal="center" vertical="center" wrapText="1"/>
      <protection locked="1" hidden="1"/>
    </xf>
    <xf numFmtId="0" fontId="6" fillId="0" borderId="1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pivotButton="0" quotePrefix="0" xfId="0">
      <alignment horizontal="center" vertical="center"/>
    </xf>
    <xf numFmtId="0" fontId="4" fillId="0" borderId="58" applyAlignment="1" pivotButton="0" quotePrefix="0" xfId="0">
      <alignment horizontal="center"/>
    </xf>
    <xf numFmtId="0" fontId="9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168" fontId="2" fillId="0" borderId="15" applyAlignment="1" pivotButton="0" quotePrefix="0" xfId="0">
      <alignment horizontal="center"/>
    </xf>
    <xf numFmtId="168" fontId="2" fillId="0" borderId="20" applyAlignment="1" pivotButton="0" quotePrefix="0" xfId="0">
      <alignment horizontal="center"/>
    </xf>
    <xf numFmtId="168" fontId="2" fillId="0" borderId="21" applyAlignment="1" pivotButton="0" quotePrefix="0" xfId="0">
      <alignment horizontal="center"/>
    </xf>
    <xf numFmtId="2" fontId="2" fillId="0" borderId="8" applyAlignment="1" pivotButton="0" quotePrefix="0" xfId="0">
      <alignment horizontal="center"/>
    </xf>
    <xf numFmtId="2" fontId="2" fillId="0" borderId="10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169" fontId="2" fillId="0" borderId="16" applyAlignment="1" pivotButton="0" quotePrefix="0" xfId="0">
      <alignment horizontal="center"/>
    </xf>
    <xf numFmtId="169" fontId="2" fillId="0" borderId="17" applyAlignment="1" pivotButton="0" quotePrefix="0" xfId="0">
      <alignment horizontal="center"/>
    </xf>
    <xf numFmtId="2" fontId="2" fillId="0" borderId="22" applyAlignment="1" pivotButton="0" quotePrefix="0" xfId="0">
      <alignment horizontal="center"/>
    </xf>
    <xf numFmtId="1" fontId="2" fillId="0" borderId="24" applyAlignment="1" pivotButton="0" quotePrefix="0" xfId="0">
      <alignment horizontal="center"/>
    </xf>
    <xf numFmtId="1" fontId="2" fillId="0" borderId="25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4" fontId="4" fillId="0" borderId="0" applyAlignment="1" pivotButton="0" quotePrefix="0" xfId="0">
      <alignment horizontal="center"/>
    </xf>
    <xf numFmtId="168" fontId="2" fillId="0" borderId="36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169" fontId="2" fillId="0" borderId="18" applyAlignment="1" pivotButton="0" quotePrefix="0" xfId="0">
      <alignment horizontal="center"/>
    </xf>
    <xf numFmtId="169" fontId="2" fillId="0" borderId="19" applyAlignment="1" pivotButton="0" quotePrefix="0" xfId="0">
      <alignment horizontal="center"/>
    </xf>
    <xf numFmtId="2" fontId="2" fillId="0" borderId="16" applyAlignment="1" pivotButton="0" quotePrefix="0" xfId="0">
      <alignment horizontal="center"/>
    </xf>
    <xf numFmtId="2" fontId="2" fillId="0" borderId="17" applyAlignment="1" pivotButton="0" quotePrefix="0" xfId="0">
      <alignment horizontal="center"/>
    </xf>
    <xf numFmtId="1" fontId="2" fillId="0" borderId="20" applyAlignment="1" pivotButton="0" quotePrefix="0" xfId="0">
      <alignment horizontal="center"/>
    </xf>
    <xf numFmtId="1" fontId="2" fillId="0" borderId="21" applyAlignment="1" pivotButton="0" quotePrefix="0" xfId="0">
      <alignment horizontal="center"/>
    </xf>
    <xf numFmtId="2" fontId="2" fillId="0" borderId="26" applyAlignment="1" pivotButton="0" quotePrefix="1" xfId="0">
      <alignment horizontal="center"/>
    </xf>
    <xf numFmtId="2" fontId="2" fillId="0" borderId="39" applyAlignment="1" pivotButton="0" quotePrefix="0" xfId="0">
      <alignment horizontal="center"/>
    </xf>
    <xf numFmtId="169" fontId="2" fillId="0" borderId="46" applyAlignment="1" pivotButton="0" quotePrefix="0" xfId="0">
      <alignment horizontal="center"/>
    </xf>
    <xf numFmtId="169" fontId="2" fillId="0" borderId="47" applyAlignment="1" pivotButton="0" quotePrefix="0" xfId="0">
      <alignment horizontal="center"/>
    </xf>
    <xf numFmtId="169" fontId="2" fillId="0" borderId="34" applyAlignment="1" pivotButton="0" quotePrefix="0" xfId="0">
      <alignment horizontal="center"/>
    </xf>
    <xf numFmtId="169" fontId="2" fillId="0" borderId="37" applyAlignment="1" pivotButton="0" quotePrefix="0" xfId="0">
      <alignment horizontal="center"/>
    </xf>
    <xf numFmtId="169" fontId="2" fillId="0" borderId="40" applyAlignment="1" pivotButton="0" quotePrefix="0" xfId="0">
      <alignment horizontal="center"/>
    </xf>
    <xf numFmtId="169" fontId="2" fillId="0" borderId="41" applyAlignment="1" pivotButton="0" quotePrefix="0" xfId="0">
      <alignment horizontal="center"/>
    </xf>
    <xf numFmtId="1" fontId="2" fillId="0" borderId="16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 wrapText="1"/>
    </xf>
    <xf numFmtId="0" fontId="3" fillId="0" borderId="1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165" fontId="3" fillId="0" borderId="1" applyAlignment="1" applyProtection="1" pivotButton="0" quotePrefix="0" xfId="0">
      <alignment horizontal="center"/>
      <protection locked="1" hidden="1"/>
    </xf>
    <xf numFmtId="0" fontId="5" fillId="0" borderId="11" applyAlignment="1" applyProtection="1" pivotButton="0" quotePrefix="0" xfId="0">
      <alignment horizontal="center" vertical="center"/>
      <protection locked="1" hidden="1"/>
    </xf>
    <xf numFmtId="0" fontId="5" fillId="0" borderId="12" applyAlignment="1" applyProtection="1" pivotButton="0" quotePrefix="0" xfId="0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 vertical="center"/>
      <protection locked="1" hidden="1"/>
    </xf>
    <xf numFmtId="2" fontId="2" fillId="0" borderId="18" applyAlignment="1" pivotButton="0" quotePrefix="0" xfId="0">
      <alignment horizontal="center"/>
    </xf>
    <xf numFmtId="2" fontId="2" fillId="0" borderId="19" applyAlignment="1" pivotButton="0" quotePrefix="0" xfId="0">
      <alignment horizontal="center"/>
    </xf>
    <xf numFmtId="2" fontId="2" fillId="0" borderId="20" applyAlignment="1" pivotButton="0" quotePrefix="0" xfId="0">
      <alignment horizontal="center"/>
    </xf>
    <xf numFmtId="2" fontId="2" fillId="0" borderId="21" applyAlignment="1" pivotButton="0" quotePrefix="0" xfId="0">
      <alignment horizontal="center"/>
    </xf>
    <xf numFmtId="0" fontId="2" fillId="0" borderId="42" applyAlignment="1" pivotButton="0" quotePrefix="0" xfId="1">
      <alignment horizontal="center" vertical="center" wrapText="1"/>
    </xf>
    <xf numFmtId="0" fontId="2" fillId="0" borderId="43" applyAlignment="1" pivotButton="0" quotePrefix="0" xfId="1">
      <alignment horizontal="center" vertical="center" wrapText="1"/>
    </xf>
    <xf numFmtId="170" fontId="2" fillId="0" borderId="36" applyAlignment="1" pivotButton="0" quotePrefix="0" xfId="1">
      <alignment horizontal="center" vertical="center"/>
    </xf>
    <xf numFmtId="170" fontId="2" fillId="0" borderId="17" applyAlignment="1" pivotButton="0" quotePrefix="0" xfId="1">
      <alignment horizontal="center" vertical="center"/>
    </xf>
    <xf numFmtId="0" fontId="4" fillId="0" borderId="3" applyAlignment="1" pivotButton="0" quotePrefix="0" xfId="1">
      <alignment horizontal="center"/>
    </xf>
    <xf numFmtId="0" fontId="4" fillId="0" borderId="4" applyAlignment="1" pivotButton="0" quotePrefix="0" xfId="1">
      <alignment horizontal="center"/>
    </xf>
    <xf numFmtId="0" fontId="4" fillId="0" borderId="5" applyAlignment="1" pivotButton="0" quotePrefix="0" xfId="1">
      <alignment horizontal="center"/>
    </xf>
    <xf numFmtId="0" fontId="2" fillId="0" borderId="35" applyAlignment="1" pivotButton="0" quotePrefix="0" xfId="1">
      <alignment horizontal="center" vertical="center" wrapText="1"/>
    </xf>
    <xf numFmtId="0" fontId="2" fillId="0" borderId="16" applyAlignment="1" pivotButton="0" quotePrefix="0" xfId="1">
      <alignment horizontal="center" vertical="center" wrapText="1"/>
    </xf>
    <xf numFmtId="170" fontId="2" fillId="0" borderId="42" applyAlignment="1" pivotButton="0" quotePrefix="0" xfId="1">
      <alignment horizontal="center" vertical="center"/>
    </xf>
    <xf numFmtId="170" fontId="2" fillId="0" borderId="43" applyAlignment="1" pivotButton="0" quotePrefix="0" xfId="1">
      <alignment horizontal="center" vertical="center"/>
    </xf>
    <xf numFmtId="168" fontId="2" fillId="0" borderId="8" applyAlignment="1" pivotButton="0" quotePrefix="0" xfId="0">
      <alignment horizontal="center"/>
    </xf>
    <xf numFmtId="168" fontId="2" fillId="0" borderId="10" applyAlignment="1" pivotButton="0" quotePrefix="0" xfId="0">
      <alignment horizontal="center"/>
    </xf>
    <xf numFmtId="168" fontId="2" fillId="0" borderId="14" applyAlignment="1" pivotButton="0" quotePrefix="0" xfId="0">
      <alignment horizontal="center"/>
    </xf>
    <xf numFmtId="168" fontId="2" fillId="0" borderId="16" applyAlignment="1" pivotButton="0" quotePrefix="0" xfId="0">
      <alignment horizontal="center"/>
    </xf>
    <xf numFmtId="168" fontId="2" fillId="0" borderId="17" applyAlignment="1" pivotButton="0" quotePrefix="0" xfId="0">
      <alignment horizontal="center"/>
    </xf>
    <xf numFmtId="0" fontId="2" fillId="0" borderId="22" applyAlignment="1" pivotButton="0" quotePrefix="0" xfId="0">
      <alignment horizontal="center"/>
    </xf>
    <xf numFmtId="0" fontId="2" fillId="0" borderId="16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168" fontId="2" fillId="0" borderId="22" applyAlignment="1" pivotButton="0" quotePrefix="0" xfId="0">
      <alignment horizontal="center"/>
    </xf>
    <xf numFmtId="168" fontId="2" fillId="0" borderId="23" applyAlignment="1" pivotButton="0" quotePrefix="0" xfId="0">
      <alignment horizontal="center"/>
    </xf>
    <xf numFmtId="168" fontId="2" fillId="0" borderId="18" applyAlignment="1" pivotButton="0" quotePrefix="0" xfId="2">
      <alignment horizontal="center"/>
    </xf>
    <xf numFmtId="168" fontId="2" fillId="0" borderId="19" applyAlignment="1" pivotButton="0" quotePrefix="0" xfId="2">
      <alignment horizontal="center"/>
    </xf>
    <xf numFmtId="168" fontId="2" fillId="0" borderId="20" applyAlignment="1" pivotButton="0" quotePrefix="0" xfId="2">
      <alignment horizontal="center"/>
    </xf>
    <xf numFmtId="168" fontId="2" fillId="0" borderId="21" applyAlignment="1" pivotButton="0" quotePrefix="0" xfId="2">
      <alignment horizontal="center"/>
    </xf>
    <xf numFmtId="168" fontId="2" fillId="0" borderId="24" applyAlignment="1" pivotButton="0" quotePrefix="0" xfId="2">
      <alignment horizontal="center"/>
    </xf>
    <xf numFmtId="168" fontId="2" fillId="0" borderId="25" applyAlignment="1" pivotButton="0" quotePrefix="0" xfId="2">
      <alignment horizontal="center"/>
    </xf>
    <xf numFmtId="168" fontId="2" fillId="0" borderId="56" applyAlignment="1" pivotButton="0" quotePrefix="0" xfId="2">
      <alignment horizontal="center"/>
    </xf>
    <xf numFmtId="168" fontId="2" fillId="0" borderId="43" applyAlignment="1" pivotButton="0" quotePrefix="0" xfId="2">
      <alignment horizontal="center"/>
    </xf>
    <xf numFmtId="1" fontId="2" fillId="0" borderId="22" applyAlignment="1" pivotButton="0" quotePrefix="0" xfId="0">
      <alignment horizontal="center"/>
    </xf>
    <xf numFmtId="1" fontId="2" fillId="0" borderId="23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9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2" fontId="2" fillId="0" borderId="31" applyAlignment="1" pivotButton="0" quotePrefix="0" xfId="0">
      <alignment horizontal="center"/>
    </xf>
    <xf numFmtId="0" fontId="2" fillId="0" borderId="28" applyAlignment="1" pivotButton="0" quotePrefix="0" xfId="0">
      <alignment horizontal="center"/>
    </xf>
    <xf numFmtId="2" fontId="2" fillId="0" borderId="27" applyAlignment="1" pivotButton="0" quotePrefix="0" xfId="0">
      <alignment horizontal="center"/>
    </xf>
    <xf numFmtId="2" fontId="2" fillId="0" borderId="28" applyAlignment="1" pivotButton="0" quotePrefix="0" xfId="0">
      <alignment horizontal="center"/>
    </xf>
    <xf numFmtId="2" fontId="2" fillId="0" borderId="32" applyAlignment="1" pivotButton="0" quotePrefix="0" xfId="0">
      <alignment horizontal="center"/>
    </xf>
    <xf numFmtId="2" fontId="2" fillId="0" borderId="45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166" fontId="2" fillId="0" borderId="11" applyAlignment="1" pivotButton="0" quotePrefix="0" xfId="0">
      <alignment horizontal="center"/>
    </xf>
    <xf numFmtId="166" fontId="2" fillId="0" borderId="13" applyAlignment="1" pivotButton="0" quotePrefix="0" xfId="0">
      <alignment horizontal="center"/>
    </xf>
    <xf numFmtId="2" fontId="2" fillId="0" borderId="36" applyAlignment="1" pivotButton="0" quotePrefix="0" xfId="0">
      <alignment horizontal="center"/>
    </xf>
    <xf numFmtId="168" fontId="2" fillId="0" borderId="42" applyAlignment="1" pivotButton="0" quotePrefix="0" xfId="2">
      <alignment horizontal="center"/>
    </xf>
    <xf numFmtId="0" fontId="4" fillId="0" borderId="3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51" applyAlignment="1" pivotButton="0" quotePrefix="0" xfId="0">
      <alignment horizontal="center" vertical="center" wrapText="1"/>
    </xf>
    <xf numFmtId="0" fontId="4" fillId="0" borderId="52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4" fillId="0" borderId="55" applyAlignment="1" pivotButton="0" quotePrefix="0" xfId="0">
      <alignment horizontal="center" vertical="center" wrapText="1"/>
    </xf>
    <xf numFmtId="2" fontId="2" fillId="0" borderId="35" applyAlignment="1" pivotButton="0" quotePrefix="0" xfId="0">
      <alignment horizontal="center"/>
    </xf>
    <xf numFmtId="1" fontId="2" fillId="0" borderId="26" applyAlignment="1" pivotButton="0" quotePrefix="0" xfId="0">
      <alignment horizontal="center"/>
    </xf>
    <xf numFmtId="1" fontId="2" fillId="0" borderId="39" applyAlignment="1" pivotButton="0" quotePrefix="0" xfId="0">
      <alignment horizontal="center"/>
    </xf>
    <xf numFmtId="2" fontId="2" fillId="0" borderId="26" applyAlignment="1" pivotButton="0" quotePrefix="0" xfId="0">
      <alignment horizontal="center"/>
    </xf>
    <xf numFmtId="169" fontId="2" fillId="0" borderId="26" applyAlignment="1" pivotButton="0" quotePrefix="0" xfId="0">
      <alignment horizontal="center"/>
    </xf>
    <xf numFmtId="169" fontId="2" fillId="0" borderId="39" applyAlignment="1" pivotButton="0" quotePrefix="0" xfId="0">
      <alignment horizontal="center"/>
    </xf>
    <xf numFmtId="168" fontId="2" fillId="0" borderId="26" applyAlignment="1" pivotButton="0" quotePrefix="0" xfId="0">
      <alignment horizontal="center"/>
    </xf>
    <xf numFmtId="168" fontId="2" fillId="0" borderId="39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6" fillId="0" borderId="33" applyAlignment="1" applyProtection="1" pivotButton="0" quotePrefix="0" xfId="0">
      <alignment horizontal="center" vertical="center" wrapText="1"/>
      <protection locked="1" hidden="1"/>
    </xf>
    <xf numFmtId="0" fontId="0" fillId="0" borderId="4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5" fillId="0" borderId="33" applyAlignment="1" applyProtection="1" pivotButton="0" quotePrefix="0" xfId="0">
      <alignment horizontal="center" vertical="center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170" fontId="1" fillId="0" borderId="0" applyAlignment="1" applyProtection="1" pivotButton="0" quotePrefix="0" xfId="0">
      <alignment horizontal="left" vertical="center" wrapText="1"/>
      <protection locked="1" hidden="1"/>
    </xf>
    <xf numFmtId="0" fontId="9" fillId="0" borderId="33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167" fontId="2" fillId="0" borderId="0" pivotButton="0" quotePrefix="0" xfId="0"/>
    <xf numFmtId="0" fontId="0" fillId="0" borderId="59" pivotButton="0" quotePrefix="0" xfId="0"/>
    <xf numFmtId="0" fontId="4" fillId="0" borderId="53" applyAlignment="1" pivotButton="0" quotePrefix="0" xfId="0">
      <alignment horizontal="center"/>
    </xf>
    <xf numFmtId="0" fontId="0" fillId="0" borderId="52" pivotButton="0" quotePrefix="0" xfId="0"/>
    <xf numFmtId="0" fontId="0" fillId="0" borderId="66" pivotButton="0" quotePrefix="0" xfId="0"/>
    <xf numFmtId="0" fontId="0" fillId="0" borderId="34" pivotButton="0" quotePrefix="0" xfId="0"/>
    <xf numFmtId="0" fontId="0" fillId="0" borderId="40" pivotButton="0" quotePrefix="0" xfId="0"/>
    <xf numFmtId="0" fontId="0" fillId="0" borderId="46" pivotButton="0" quotePrefix="0" xfId="0"/>
    <xf numFmtId="1" fontId="2" fillId="0" borderId="48" applyAlignment="1" pivotButton="0" quotePrefix="0" xfId="0">
      <alignment horizontal="center"/>
    </xf>
    <xf numFmtId="0" fontId="0" fillId="0" borderId="25" pivotButton="0" quotePrefix="0" xfId="0"/>
    <xf numFmtId="169" fontId="2" fillId="0" borderId="46" applyAlignment="1" pivotButton="0" quotePrefix="0" xfId="0">
      <alignment horizontal="center"/>
    </xf>
    <xf numFmtId="169" fontId="2" fillId="0" borderId="22" applyAlignment="1" pivotButton="0" quotePrefix="0" xfId="0">
      <alignment horizontal="center"/>
    </xf>
    <xf numFmtId="168" fontId="2" fillId="0" borderId="48" applyAlignment="1" pivotButton="0" quotePrefix="0" xfId="0">
      <alignment horizontal="center"/>
    </xf>
    <xf numFmtId="2" fontId="2" fillId="0" borderId="48" applyAlignment="1" pivotButton="0" quotePrefix="0" xfId="0">
      <alignment horizontal="center"/>
    </xf>
    <xf numFmtId="1" fontId="2" fillId="0" borderId="30" applyAlignment="1" pivotButton="0" quotePrefix="0" xfId="0">
      <alignment horizontal="center"/>
    </xf>
    <xf numFmtId="0" fontId="0" fillId="0" borderId="19" pivotButton="0" quotePrefix="0" xfId="0"/>
    <xf numFmtId="169" fontId="2" fillId="0" borderId="34" applyAlignment="1" pivotButton="0" quotePrefix="0" xfId="0">
      <alignment horizontal="center"/>
    </xf>
    <xf numFmtId="169" fontId="2" fillId="0" borderId="14" applyAlignment="1" pivotButton="0" quotePrefix="0" xfId="0">
      <alignment horizontal="center"/>
    </xf>
    <xf numFmtId="168" fontId="2" fillId="0" borderId="30" applyAlignment="1" pivotButton="0" quotePrefix="0" xfId="0">
      <alignment horizontal="center"/>
    </xf>
    <xf numFmtId="169" fontId="2" fillId="0" borderId="30" applyAlignment="1" pivotButton="0" quotePrefix="0" xfId="0">
      <alignment horizontal="center"/>
    </xf>
    <xf numFmtId="1" fontId="2" fillId="0" borderId="38" applyAlignment="1" pivotButton="0" quotePrefix="0" xfId="0">
      <alignment horizontal="center"/>
    </xf>
    <xf numFmtId="0" fontId="0" fillId="0" borderId="21" pivotButton="0" quotePrefix="0" xfId="0"/>
    <xf numFmtId="169" fontId="2" fillId="0" borderId="40" applyAlignment="1" pivotButton="0" quotePrefix="0" xfId="0">
      <alignment horizontal="center"/>
    </xf>
    <xf numFmtId="169" fontId="2" fillId="0" borderId="16" applyAlignment="1" pivotButton="0" quotePrefix="0" xfId="0">
      <alignment horizontal="center"/>
    </xf>
    <xf numFmtId="168" fontId="2" fillId="0" borderId="38" applyAlignment="1" pivotButton="0" quotePrefix="0" xfId="0">
      <alignment horizontal="center"/>
    </xf>
    <xf numFmtId="0" fontId="0" fillId="0" borderId="64" pivotButton="0" quotePrefix="0" xfId="0"/>
    <xf numFmtId="2" fontId="2" fillId="0" borderId="71" applyAlignment="1" pivotButton="0" quotePrefix="0" xfId="0">
      <alignment horizontal="center"/>
    </xf>
    <xf numFmtId="0" fontId="0" fillId="0" borderId="1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44" applyAlignment="1" pivotButton="0" quotePrefix="0" xfId="0">
      <alignment horizontal="center"/>
    </xf>
    <xf numFmtId="2" fontId="2" fillId="0" borderId="30" applyAlignment="1" pivotButton="0" quotePrefix="0" xfId="0">
      <alignment horizontal="center"/>
    </xf>
    <xf numFmtId="2" fontId="2" fillId="0" borderId="38" applyAlignment="1" pivotButton="0" quotePrefix="0" xfId="0">
      <alignment horizontal="center"/>
    </xf>
    <xf numFmtId="168" fontId="2" fillId="0" borderId="71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4" fillId="0" borderId="44" applyAlignment="1" pivotButton="0" quotePrefix="0" xfId="1">
      <alignment horizontal="center"/>
    </xf>
    <xf numFmtId="0" fontId="0" fillId="0" borderId="65" pivotButton="0" quotePrefix="0" xfId="0"/>
    <xf numFmtId="170" fontId="2" fillId="0" borderId="42" applyAlignment="1" pivotButton="0" quotePrefix="0" xfId="1">
      <alignment horizontal="center" vertical="center"/>
    </xf>
    <xf numFmtId="170" fontId="2" fillId="0" borderId="36" applyAlignment="1" pivotButton="0" quotePrefix="0" xfId="1">
      <alignment horizontal="center" vertical="center"/>
    </xf>
    <xf numFmtId="0" fontId="0" fillId="0" borderId="24" pivotButton="0" quotePrefix="0" xfId="0"/>
    <xf numFmtId="0" fontId="0" fillId="0" borderId="70" pivotButton="0" quotePrefix="0" xfId="0"/>
    <xf numFmtId="0" fontId="0" fillId="0" borderId="47" pivotButton="0" quotePrefix="0" xfId="0"/>
    <xf numFmtId="0" fontId="0" fillId="0" borderId="23" pivotButton="0" quotePrefix="0" xfId="0"/>
    <xf numFmtId="0" fontId="5" fillId="0" borderId="33" applyAlignment="1" applyProtection="1" pivotButton="0" quotePrefix="0" xfId="0">
      <alignment horizontal="center" vertical="center"/>
      <protection locked="1" hidden="1"/>
    </xf>
    <xf numFmtId="165" fontId="3" fillId="0" borderId="1" applyAlignment="1" applyProtection="1" pivotButton="0" quotePrefix="0" xfId="0">
      <alignment horizontal="center"/>
      <protection locked="1" hidden="1"/>
    </xf>
    <xf numFmtId="0" fontId="0" fillId="0" borderId="1" applyProtection="1" pivotButton="0" quotePrefix="0" xfId="0">
      <protection locked="1" hidden="1"/>
    </xf>
    <xf numFmtId="164" fontId="3" fillId="0" borderId="0" applyAlignment="1" applyProtection="1" pivotButton="0" quotePrefix="0" xfId="0">
      <alignment horizontal="left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0" fontId="2" fillId="0" borderId="48" applyAlignment="1" pivotButton="0" quotePrefix="0" xfId="0">
      <alignment horizontal="center"/>
    </xf>
    <xf numFmtId="0" fontId="2" fillId="0" borderId="30" applyAlignment="1" pivotButton="0" quotePrefix="0" xfId="0">
      <alignment horizontal="center"/>
    </xf>
    <xf numFmtId="169" fontId="2" fillId="0" borderId="26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4" fillId="0" borderId="33" applyAlignment="1" pivotButton="0" quotePrefix="0" xfId="0">
      <alignment horizontal="center"/>
    </xf>
    <xf numFmtId="0" fontId="0" fillId="0" borderId="28" pivotButton="0" quotePrefix="0" xfId="0"/>
    <xf numFmtId="2" fontId="2" fillId="0" borderId="29" applyAlignment="1" pivotButton="0" quotePrefix="0" xfId="0">
      <alignment horizontal="center"/>
    </xf>
    <xf numFmtId="166" fontId="2" fillId="0" borderId="24" pivotButton="0" quotePrefix="0" xfId="0"/>
    <xf numFmtId="166" fontId="2" fillId="0" borderId="25" pivotButton="0" quotePrefix="0" xfId="0"/>
    <xf numFmtId="166" fontId="2" fillId="0" borderId="33" applyAlignment="1" pivotButton="0" quotePrefix="0" xfId="0">
      <alignment horizontal="center"/>
    </xf>
    <xf numFmtId="0" fontId="4" fillId="0" borderId="44" applyAlignment="1" pivotButton="0" quotePrefix="0" xfId="0">
      <alignment horizontal="center" vertical="center" wrapText="1"/>
    </xf>
    <xf numFmtId="0" fontId="4" fillId="0" borderId="73" applyAlignment="1" pivotButton="0" quotePrefix="0" xfId="0">
      <alignment horizontal="center" vertical="center" wrapText="1"/>
    </xf>
    <xf numFmtId="0" fontId="4" fillId="0" borderId="72" applyAlignment="1" pivotButton="0" quotePrefix="0" xfId="0">
      <alignment horizontal="center" vertical="center" wrapText="1"/>
    </xf>
    <xf numFmtId="0" fontId="0" fillId="0" borderId="54" pivotButton="0" quotePrefix="0" xfId="0"/>
    <xf numFmtId="168" fontId="2" fillId="0" borderId="48" applyAlignment="1" pivotButton="0" quotePrefix="0" xfId="2">
      <alignment horizontal="center"/>
    </xf>
    <xf numFmtId="168" fontId="2" fillId="0" borderId="30" applyAlignment="1" pivotButton="0" quotePrefix="0" xfId="2">
      <alignment horizontal="center"/>
    </xf>
    <xf numFmtId="168" fontId="2" fillId="0" borderId="38" applyAlignment="1" pivotButton="0" quotePrefix="0" xfId="2">
      <alignment horizontal="center"/>
    </xf>
  </cellXfs>
  <cellStyles count="3">
    <cellStyle name="Normal" xfId="0" builtinId="0"/>
    <cellStyle name="Normal 2" xfId="1"/>
    <cellStyle name="Porcentagem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twoCellAnchor editAs="oneCell">
    <from>
      <col>2</col>
      <colOff>36397</colOff>
      <row>1</row>
      <rowOff>155529</rowOff>
    </from>
    <to>
      <col>4</col>
      <colOff>8959</colOff>
      <row>4</row>
      <rowOff>97268</rowOff>
    </to>
    <pic>
      <nvPicPr>
        <cNvPr id="4" name="Imagem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70314" y="346029"/>
          <a:ext cx="1880842" cy="67198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16</col>
      <colOff>396875</colOff>
      <row>1</row>
      <rowOff>105744</rowOff>
    </from>
    <to>
      <col>19</col>
      <colOff>550148</colOff>
      <row>4</row>
      <rowOff>133590</rowOff>
    </to>
    <pic>
      <nvPicPr>
        <cNvPr id="5" name="Imagem 4" descr="Ícone&#10;&#10;Descrição gerada automaticament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1055350" y="105744"/>
          <a:ext cx="1286748" cy="75174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36397</colOff>
      <row>1</row>
      <rowOff>155529</rowOff>
    </from>
    <to>
      <col>3</col>
      <colOff>469334</colOff>
      <row>4</row>
      <rowOff>97268</rowOff>
    </to>
    <pic>
      <nvPicPr>
        <cNvPr id="2" name="Imagem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45972" y="155529"/>
          <a:ext cx="1804537" cy="66563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17</col>
      <colOff>177800</colOff>
      <row>1</row>
      <rowOff>67644</rowOff>
    </from>
    <to>
      <col>19</col>
      <colOff>321548</colOff>
      <row>4</row>
      <rowOff>95490</rowOff>
    </to>
    <pic>
      <nvPicPr>
        <cNvPr id="3" name="Imagem 2" descr="Ícone&#10;&#10;Descrição gerada automaticament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2036425" y="67644"/>
          <a:ext cx="1286748" cy="75174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XFD101"/>
  <sheetViews>
    <sheetView tabSelected="1" view="pageBreakPreview" topLeftCell="A2" zoomScaleNormal="100" zoomScaleSheetLayoutView="100" workbookViewId="0">
      <selection activeCell="M22" sqref="M22:N22"/>
    </sheetView>
  </sheetViews>
  <sheetFormatPr baseColWidth="8" defaultColWidth="0" defaultRowHeight="15"/>
  <cols>
    <col width="2.5703125" customWidth="1" style="2" min="1" max="1"/>
    <col width="7.5" customWidth="1" style="2" min="2" max="2"/>
    <col width="20.5703125" customWidth="1" style="2" min="3" max="3"/>
    <col width="6.85546875" customWidth="1" style="2" min="4" max="4"/>
    <col width="9.42578125" bestFit="1" customWidth="1" style="2" min="5" max="5"/>
    <col width="5.28515625" customWidth="1" style="2" min="6" max="6"/>
    <col width="15.85546875" customWidth="1" style="2" min="7" max="7"/>
    <col width="10.28515625" customWidth="1" style="2" min="8" max="8"/>
    <col width="9.85546875" customWidth="1" style="2" min="9" max="9"/>
    <col width="14.85546875" customWidth="1" style="2" min="10" max="10"/>
    <col width="15.7109375" customWidth="1" style="2" min="11" max="11"/>
    <col width="4.5703125" customWidth="1" style="2" min="12" max="12"/>
    <col width="15.5703125" customWidth="1" style="2" min="13" max="13"/>
    <col width="8.5703125" customWidth="1" style="2" min="14" max="15"/>
    <col width="7.7109375" customWidth="1" style="2" min="16" max="16"/>
    <col width="8.5703125" customWidth="1" style="2" min="17" max="17"/>
    <col width="4.85546875" customWidth="1" style="2" min="18" max="18"/>
    <col width="3.5703125" customWidth="1" style="2" min="19" max="19"/>
    <col width="9.5703125" customWidth="1" style="2" min="20" max="20"/>
    <col width="7.5" customWidth="1" style="2" min="21" max="21"/>
    <col width="5.5703125" bestFit="1" customWidth="1" style="2" min="22" max="22"/>
    <col width="11.7109375" customWidth="1" style="36" min="23" max="23"/>
    <col hidden="1" style="2" min="24" max="26"/>
    <col hidden="1" width="8.7109375" customWidth="1" style="2" min="27" max="16384"/>
  </cols>
  <sheetData>
    <row r="1" hidden="1" ht="15.75" customHeight="1" thickBot="1"/>
    <row r="2" ht="15.95" customHeight="1">
      <c r="B2" s="274" t="inlineStr">
        <is>
          <t>Linearização da Calibração no Computador de Vazão</t>
        </is>
      </c>
      <c r="C2" s="275" t="n"/>
      <c r="D2" s="275" t="n"/>
      <c r="E2" s="275" t="n"/>
      <c r="F2" s="275" t="n"/>
      <c r="G2" s="275" t="n"/>
      <c r="H2" s="275" t="n"/>
      <c r="I2" s="275" t="n"/>
      <c r="J2" s="275" t="n"/>
      <c r="K2" s="275" t="n"/>
      <c r="L2" s="275" t="n"/>
      <c r="M2" s="275" t="n"/>
      <c r="N2" s="275" t="n"/>
      <c r="O2" s="275" t="n"/>
      <c r="P2" s="275" t="n"/>
      <c r="Q2" s="275" t="n"/>
      <c r="R2" s="275" t="n"/>
      <c r="S2" s="275" t="n"/>
      <c r="T2" s="275" t="n"/>
      <c r="U2" s="276" t="n"/>
      <c r="V2" s="155" t="n"/>
      <c r="W2" s="72" t="n"/>
    </row>
    <row r="3" ht="15.95" customHeight="1">
      <c r="B3" s="277" t="n"/>
      <c r="C3" s="278" t="n"/>
      <c r="D3" s="278" t="n"/>
      <c r="E3" s="278" t="n"/>
      <c r="F3" s="278" t="n"/>
      <c r="G3" s="278" t="n"/>
      <c r="H3" s="278" t="n"/>
      <c r="I3" s="278" t="n"/>
      <c r="J3" s="278" t="n"/>
      <c r="K3" s="278" t="n"/>
      <c r="L3" s="278" t="n"/>
      <c r="M3" s="278" t="n"/>
      <c r="N3" s="278" t="n"/>
      <c r="O3" s="278" t="n"/>
      <c r="P3" s="278" t="n"/>
      <c r="Q3" s="278" t="n"/>
      <c r="R3" s="278" t="n"/>
      <c r="S3" s="278" t="n"/>
      <c r="T3" s="278" t="n"/>
      <c r="U3" s="279" t="n"/>
      <c r="V3" s="155" t="n"/>
      <c r="W3" s="72" t="n"/>
    </row>
    <row r="4" ht="26.1" customHeight="1">
      <c r="B4" s="277" t="n"/>
      <c r="C4" s="278" t="n"/>
      <c r="D4" s="278" t="n"/>
      <c r="E4" s="278" t="n"/>
      <c r="F4" s="278" t="n"/>
      <c r="G4" s="278" t="n"/>
      <c r="H4" s="278" t="n"/>
      <c r="I4" s="278" t="n"/>
      <c r="J4" s="278" t="n"/>
      <c r="K4" s="278" t="n"/>
      <c r="L4" s="278" t="n"/>
      <c r="M4" s="278" t="n"/>
      <c r="N4" s="278" t="n"/>
      <c r="O4" s="278" t="n"/>
      <c r="P4" s="278" t="n"/>
      <c r="Q4" s="278" t="n"/>
      <c r="R4" s="278" t="n"/>
      <c r="S4" s="278" t="n"/>
      <c r="T4" s="278" t="n"/>
      <c r="U4" s="279" t="n"/>
      <c r="V4" s="155" t="n"/>
      <c r="W4" s="72" t="n"/>
    </row>
    <row r="5" ht="15.95" customHeight="1" thickBot="1">
      <c r="B5" s="280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2" t="n"/>
      <c r="V5" s="155" t="n"/>
      <c r="W5" s="72" t="n"/>
    </row>
    <row r="6" hidden="1" ht="15.75" customHeight="1">
      <c r="B6" s="10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1" t="n"/>
      <c r="V6" s="1" t="n"/>
      <c r="W6" s="72" t="n"/>
    </row>
    <row r="7" hidden="1" ht="19.5" customHeight="1" thickBot="1">
      <c r="B7" s="10" t="n"/>
      <c r="C7" s="283" t="inlineStr">
        <is>
          <t>Informações Gerais</t>
        </is>
      </c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5" t="n"/>
      <c r="U7" s="12" t="n"/>
      <c r="V7" s="3" t="n"/>
      <c r="W7" s="72" t="n"/>
    </row>
    <row r="8" ht="15.95" customHeight="1">
      <c r="B8" s="1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12" t="n"/>
      <c r="V8" s="3" t="n"/>
      <c r="W8" s="72" t="n"/>
    </row>
    <row r="9" ht="15.75" customHeight="1">
      <c r="B9" s="10" t="n"/>
      <c r="C9" s="142" t="inlineStr">
        <is>
          <t>Cliente:</t>
        </is>
      </c>
      <c r="D9" s="117" t="inlineStr">
        <is>
          <t>PRIO</t>
        </is>
      </c>
      <c r="E9" s="278" t="n"/>
      <c r="F9" s="278" t="n"/>
      <c r="G9" s="278" t="n"/>
      <c r="H9" s="52" t="n"/>
      <c r="I9" s="52" t="n"/>
      <c r="J9" s="52" t="n"/>
      <c r="K9" s="142" t="inlineStr">
        <is>
          <t>Nº Certificado:</t>
        </is>
      </c>
      <c r="L9" s="278" t="n"/>
      <c r="M9" s="138" t="inlineStr">
        <is>
          <t>LMV 49874-26</t>
        </is>
      </c>
      <c r="N9" s="278" t="n"/>
      <c r="O9" s="278" t="n"/>
      <c r="P9" s="278" t="n"/>
      <c r="Q9" s="278" t="n"/>
      <c r="R9" s="278" t="n"/>
      <c r="S9" s="278" t="n"/>
      <c r="T9" s="278" t="n"/>
      <c r="U9" s="13" t="n"/>
      <c r="V9" s="33" t="n"/>
      <c r="W9" s="72" t="n"/>
    </row>
    <row r="10" ht="15.75" customHeight="1">
      <c r="B10" s="14" t="n"/>
      <c r="C10" s="21" t="inlineStr">
        <is>
          <t>Instalação:</t>
        </is>
      </c>
      <c r="D10" s="117" t="inlineStr">
        <is>
          <t>FPSO BRAVO</t>
        </is>
      </c>
      <c r="E10" s="278" t="n"/>
      <c r="F10" s="278" t="n"/>
      <c r="G10" s="278" t="n"/>
      <c r="H10" s="52" t="n"/>
      <c r="I10" s="52" t="n"/>
      <c r="J10" s="52" t="n"/>
      <c r="K10" s="140" t="inlineStr">
        <is>
          <t>Modelo:</t>
        </is>
      </c>
      <c r="L10" s="278" t="n"/>
      <c r="M10" s="138" t="inlineStr">
        <is>
          <t>TZN350-3500</t>
        </is>
      </c>
      <c r="N10" s="278" t="n"/>
      <c r="O10" s="278" t="n"/>
      <c r="P10" s="278" t="n"/>
      <c r="Q10" s="278" t="n"/>
      <c r="R10" s="278" t="n"/>
      <c r="S10" s="278" t="n"/>
      <c r="T10" s="278" t="n"/>
      <c r="U10" s="15" t="n"/>
      <c r="V10" s="4" t="n"/>
      <c r="W10" s="73" t="n"/>
    </row>
    <row r="11" ht="15.75" customHeight="1">
      <c r="B11" s="14" t="n"/>
      <c r="C11" s="22" t="inlineStr">
        <is>
          <t>TAG do Sistema:</t>
        </is>
      </c>
      <c r="D11" s="117" t="inlineStr">
        <is>
          <t>FT-7145B-01</t>
        </is>
      </c>
      <c r="E11" s="278" t="n"/>
      <c r="F11" s="278" t="n"/>
      <c r="G11" s="278" t="n"/>
      <c r="H11" s="52" t="n"/>
      <c r="I11" s="52" t="n"/>
      <c r="J11" s="52" t="n"/>
      <c r="K11" s="140" t="inlineStr">
        <is>
          <t>Fabricante:</t>
        </is>
      </c>
      <c r="L11" s="278" t="n"/>
      <c r="M11" s="138" t="inlineStr">
        <is>
          <t>FAURE HERMAN</t>
        </is>
      </c>
      <c r="N11" s="278" t="n"/>
      <c r="O11" s="278" t="n"/>
      <c r="P11" s="278" t="n"/>
      <c r="Q11" s="278" t="n"/>
      <c r="R11" s="278" t="n"/>
      <c r="S11" s="278" t="n"/>
      <c r="T11" s="278" t="n"/>
      <c r="U11" s="15" t="n"/>
      <c r="V11" s="4" t="n"/>
      <c r="W11" s="73" t="n"/>
    </row>
    <row r="12" ht="15.75" customHeight="1">
      <c r="B12" s="14" t="n"/>
      <c r="C12" s="22" t="inlineStr">
        <is>
          <t>Aplicação:</t>
        </is>
      </c>
      <c r="D12" s="117" t="inlineStr">
        <is>
          <t>TRANSFERÊNCIA DE CUSTÓDIA</t>
        </is>
      </c>
      <c r="E12" s="278" t="n"/>
      <c r="F12" s="278" t="n"/>
      <c r="G12" s="278" t="n"/>
      <c r="H12" s="52" t="n"/>
      <c r="I12" s="52" t="n"/>
      <c r="J12" s="52" t="n"/>
      <c r="K12" s="140" t="inlineStr">
        <is>
          <t>TAG:</t>
        </is>
      </c>
      <c r="L12" s="278" t="n"/>
      <c r="M12" s="138">
        <f>D11</f>
        <v/>
      </c>
      <c r="N12" s="278" t="n"/>
      <c r="O12" s="278" t="n"/>
      <c r="P12" s="278" t="n"/>
      <c r="Q12" s="278" t="n"/>
      <c r="R12" s="278" t="n"/>
      <c r="S12" s="278" t="n"/>
      <c r="T12" s="278" t="n"/>
      <c r="U12" s="15" t="n"/>
      <c r="V12" s="4" t="n"/>
      <c r="W12" s="73" t="n"/>
    </row>
    <row r="13" ht="15.75" customHeight="1">
      <c r="B13" s="14" t="n"/>
      <c r="C13" s="22" t="inlineStr">
        <is>
          <t>Sistema:</t>
        </is>
      </c>
      <c r="D13" s="117" t="inlineStr">
        <is>
          <t>OFFLOADING TRAMO B</t>
        </is>
      </c>
      <c r="E13" s="278" t="n"/>
      <c r="F13" s="278" t="n"/>
      <c r="G13" s="278" t="n"/>
      <c r="H13" s="52" t="n"/>
      <c r="I13" s="52" t="n"/>
      <c r="J13" s="52" t="n"/>
      <c r="K13" s="141" t="inlineStr">
        <is>
          <t>Nº Série:</t>
        </is>
      </c>
      <c r="L13" s="278" t="n"/>
      <c r="M13" s="138" t="n">
        <v>9013404</v>
      </c>
      <c r="N13" s="278" t="n"/>
      <c r="O13" s="278" t="n"/>
      <c r="P13" s="278" t="n"/>
      <c r="Q13" s="278" t="n"/>
      <c r="R13" s="278" t="n"/>
      <c r="S13" s="278" t="n"/>
      <c r="T13" s="278" t="n"/>
      <c r="U13" s="15" t="n"/>
      <c r="V13" s="4" t="n"/>
      <c r="W13" s="73" t="n"/>
    </row>
    <row r="14" ht="15.75" customHeight="1">
      <c r="B14" s="10" t="n"/>
      <c r="C14" s="22" t="inlineStr">
        <is>
          <t>Data da Calibração:</t>
        </is>
      </c>
      <c r="D14" s="116" t="n">
        <v>46137</v>
      </c>
      <c r="E14" s="278" t="n"/>
      <c r="F14" s="278" t="n"/>
      <c r="G14" s="278" t="n"/>
      <c r="H14" s="52" t="n"/>
      <c r="I14" s="52" t="n"/>
      <c r="J14" s="52" t="n"/>
      <c r="K14" s="140" t="inlineStr">
        <is>
          <t>Diâmetro:</t>
        </is>
      </c>
      <c r="L14" s="278" t="n"/>
      <c r="M14" s="286" t="inlineStr">
        <is>
          <t>14"</t>
        </is>
      </c>
      <c r="N14" s="278" t="n"/>
      <c r="O14" s="278" t="n"/>
      <c r="P14" s="278" t="n"/>
      <c r="Q14" s="278" t="n"/>
      <c r="R14" s="278" t="n"/>
      <c r="S14" s="278" t="n"/>
      <c r="T14" s="278" t="n"/>
      <c r="U14" s="11" t="n"/>
      <c r="V14" s="1" t="n"/>
      <c r="W14" s="72" t="n"/>
    </row>
    <row r="15" ht="15.75" customHeight="1">
      <c r="B15" s="5" t="n"/>
      <c r="C15" s="22" t="inlineStr">
        <is>
          <t>Tipo do Medidor:</t>
        </is>
      </c>
      <c r="D15" s="117" t="inlineStr">
        <is>
          <t>TURBINA</t>
        </is>
      </c>
      <c r="E15" s="278" t="n"/>
      <c r="F15" s="278" t="n"/>
      <c r="G15" s="278" t="n"/>
      <c r="H15" s="52" t="n"/>
      <c r="I15" s="52" t="n"/>
      <c r="J15" s="52" t="n"/>
      <c r="K15" s="140" t="inlineStr">
        <is>
          <t>Faixa Calibrada:</t>
        </is>
      </c>
      <c r="L15" s="278" t="n"/>
      <c r="M15" s="138" t="inlineStr">
        <is>
          <t>440 m³/h a 2500 m³/h</t>
        </is>
      </c>
      <c r="N15" s="278" t="n"/>
      <c r="O15" s="278" t="n"/>
      <c r="P15" s="278" t="n"/>
      <c r="Q15" s="278" t="n"/>
      <c r="R15" s="278" t="n"/>
      <c r="S15" s="278" t="n"/>
      <c r="T15" s="278" t="n"/>
      <c r="U15" s="6" t="n"/>
    </row>
    <row r="16" ht="15.75" customHeight="1" thickBot="1">
      <c r="B16" s="5" t="n"/>
      <c r="U16" s="6" t="n"/>
    </row>
    <row r="17" ht="19.5" customHeight="1" thickBot="1">
      <c r="B17" s="5" t="n"/>
      <c r="C17" s="287" t="inlineStr">
        <is>
          <t>Valores do Certificado de Calibração</t>
        </is>
      </c>
      <c r="D17" s="288" t="n"/>
      <c r="E17" s="288" t="n"/>
      <c r="F17" s="288" t="n"/>
      <c r="G17" s="288" t="n"/>
      <c r="H17" s="288" t="n"/>
      <c r="I17" s="288" t="n"/>
      <c r="J17" s="288" t="n"/>
      <c r="K17" s="288" t="n"/>
      <c r="L17" s="288" t="n"/>
      <c r="M17" s="288" t="n"/>
      <c r="N17" s="288" t="n"/>
      <c r="O17" s="288" t="n"/>
      <c r="P17" s="288" t="n"/>
      <c r="Q17" s="288" t="n"/>
      <c r="R17" s="288" t="n"/>
      <c r="S17" s="288" t="n"/>
      <c r="T17" s="289" t="n"/>
      <c r="U17" s="16" t="n"/>
      <c r="V17" s="34" t="n"/>
    </row>
    <row r="18">
      <c r="B18" s="5" t="n"/>
      <c r="U18" s="6" t="n"/>
    </row>
    <row r="19">
      <c r="B19" s="5" t="n"/>
      <c r="C19" s="24" t="inlineStr">
        <is>
          <t>K-Factor do medidor:</t>
        </is>
      </c>
      <c r="D19" s="181" t="n">
        <v>70.3</v>
      </c>
      <c r="F19" s="24" t="inlineStr">
        <is>
          <t>pulsos/m³</t>
        </is>
      </c>
      <c r="U19" s="6" t="n"/>
    </row>
    <row r="20" ht="15.75" customHeight="1" thickBot="1">
      <c r="B20" s="5" t="n"/>
      <c r="U20" s="6" t="n"/>
      <c r="V20" s="290" t="n"/>
    </row>
    <row r="21" ht="15.75" customHeight="1" thickBot="1">
      <c r="B21" s="5" t="n"/>
      <c r="C21" s="131" t="inlineStr">
        <is>
          <t>Vazão da Calibração (m³/h)</t>
        </is>
      </c>
      <c r="D21" s="291" t="n"/>
      <c r="E21" s="133" t="inlineStr">
        <is>
          <t>Frequência (Hz)</t>
        </is>
      </c>
      <c r="F21" s="291" t="n"/>
      <c r="G21" s="292" t="inlineStr">
        <is>
          <t>Volume de Referência (L)</t>
        </is>
      </c>
      <c r="H21" s="293" t="n"/>
      <c r="I21" s="135" t="inlineStr">
        <is>
          <t>Volume do Medidor (L)</t>
        </is>
      </c>
      <c r="J21" s="293" t="n"/>
      <c r="K21" s="292" t="inlineStr">
        <is>
          <t>Meter Factor</t>
        </is>
      </c>
      <c r="L21" s="293" t="n"/>
      <c r="M21" s="133" t="inlineStr">
        <is>
          <t>Erro (%)</t>
        </is>
      </c>
      <c r="N21" s="291" t="n"/>
      <c r="O21" s="133" t="inlineStr">
        <is>
          <t>K-factor corrigido</t>
        </is>
      </c>
      <c r="P21" s="291" t="n"/>
      <c r="Q21" s="133" t="inlineStr">
        <is>
          <t>Incerteza (%)</t>
        </is>
      </c>
      <c r="R21" s="291" t="n"/>
      <c r="S21" s="136" t="inlineStr">
        <is>
          <t>Status</t>
        </is>
      </c>
      <c r="T21" s="291" t="n"/>
      <c r="U21" s="17" t="n"/>
      <c r="V21" s="35" t="inlineStr">
        <is>
          <t>C=7</t>
        </is>
      </c>
      <c r="W21" s="35" t="inlineStr">
        <is>
          <t>MF</t>
        </is>
      </c>
    </row>
    <row r="22">
      <c r="B22" s="5" t="n"/>
      <c r="C22" s="121" t="n">
        <v>440</v>
      </c>
      <c r="D22" s="294" t="n"/>
      <c r="E22" s="122">
        <f>IFERROR(($D$19*C22)/3600,"")</f>
        <v/>
      </c>
      <c r="F22" s="294" t="n"/>
      <c r="G22" s="120" t="n">
        <v>145953.57</v>
      </c>
      <c r="H22" s="294" t="n"/>
      <c r="I22" s="120" t="n">
        <v>145713.61</v>
      </c>
      <c r="J22" s="294" t="n"/>
      <c r="K22" s="123" t="n">
        <v>1.00165</v>
      </c>
      <c r="L22" s="294" t="n"/>
      <c r="M22" s="124" t="n">
        <v>-0.16</v>
      </c>
      <c r="N22" s="294" t="n"/>
      <c r="O22" s="123">
        <f>IFERROR(ROUND($D$19/K22,5),"")</f>
        <v/>
      </c>
      <c r="P22" s="294" t="n"/>
      <c r="Q22" s="120" t="n">
        <v>0.15</v>
      </c>
      <c r="R22" s="294" t="n"/>
      <c r="S22" s="118">
        <f>IF(C22="","",
IF(OR($D$12="FISCAL",$D$12="TRANSFERÊNCIA DE CUSTÓDIA"),IF(ABS(M22)&gt;0.2,"REPROVADO","APROVADO"),
IF(ABS(M22)&gt;0.6,"REPROVADO","APROVADO")))</f>
        <v/>
      </c>
      <c r="T22" s="294" t="n"/>
      <c r="U22" s="18" t="n"/>
      <c r="V22" s="61">
        <f>LEN(O22)-1</f>
        <v/>
      </c>
      <c r="W22" s="74">
        <f>(G22/I22)-K22</f>
        <v/>
      </c>
    </row>
    <row r="23">
      <c r="B23" s="5" t="n"/>
      <c r="C23" s="96" t="n">
        <v>530</v>
      </c>
      <c r="D23" s="295" t="n"/>
      <c r="E23" s="95">
        <f>IFERROR(($D$19*C23)/3600,"")</f>
        <v/>
      </c>
      <c r="F23" s="295" t="n"/>
      <c r="G23" s="99" t="n">
        <v>145925.9</v>
      </c>
      <c r="H23" s="295" t="n"/>
      <c r="I23" s="99" t="n">
        <v>145765.77</v>
      </c>
      <c r="J23" s="295" t="n"/>
      <c r="K23" s="100" t="n">
        <v>1.0011</v>
      </c>
      <c r="L23" s="295" t="n"/>
      <c r="M23" s="101" t="n">
        <v>-0.11</v>
      </c>
      <c r="N23" s="295" t="n"/>
      <c r="O23" s="100">
        <f>IFERROR(ROUND($D$19/K23,5),"")</f>
        <v/>
      </c>
      <c r="P23" s="295" t="n"/>
      <c r="Q23" s="99" t="n">
        <v>0.15</v>
      </c>
      <c r="R23" s="295" t="n"/>
      <c r="S23" s="104">
        <f>IF(C23="","",
IF(OR($D$12="FISCAL",$D$12="TRANSFERÊNCIA DE CUSTÓDIA"),IF(ABS(M23)&gt;0.2,"REPROVADO","APROVADO"),
IF(ABS(M23)&gt;0.6,"REPROVADO","APROVADO")))</f>
        <v/>
      </c>
      <c r="T23" s="295" t="n"/>
      <c r="U23" s="18" t="n"/>
      <c r="V23" s="61">
        <f>LEN(O23)-1</f>
        <v/>
      </c>
      <c r="W23" s="74">
        <f>(G23/I23)-K23</f>
        <v/>
      </c>
    </row>
    <row r="24">
      <c r="B24" s="5" t="n"/>
      <c r="C24" s="96" t="n">
        <v>640</v>
      </c>
      <c r="D24" s="295" t="n"/>
      <c r="E24" s="95">
        <f>IFERROR(($D$19*C24)/3600,"")</f>
        <v/>
      </c>
      <c r="F24" s="295" t="n"/>
      <c r="G24" s="99" t="n">
        <v>291858.88</v>
      </c>
      <c r="H24" s="295" t="n"/>
      <c r="I24" s="99" t="n">
        <v>291631.1</v>
      </c>
      <c r="J24" s="295" t="n"/>
      <c r="K24" s="100" t="n">
        <v>1.00078</v>
      </c>
      <c r="L24" s="295" t="n"/>
      <c r="M24" s="101" t="n">
        <v>-0.08</v>
      </c>
      <c r="N24" s="295" t="n"/>
      <c r="O24" s="100">
        <f>IFERROR(ROUND($D$19/K24,5),"")</f>
        <v/>
      </c>
      <c r="P24" s="295" t="n"/>
      <c r="Q24" s="99" t="n">
        <v>0.15</v>
      </c>
      <c r="R24" s="295" t="n"/>
      <c r="S24" s="104">
        <f>IF(C24="","",
IF(OR($D$12="FISCAL",$D$12="TRANSFERÊNCIA DE CUSTÓDIA"),IF(ABS(M24)&gt;0.2,"REPROVADO","APROVADO"),
IF(ABS(M24)&gt;0.6,"REPROVADO","APROVADO")))</f>
        <v/>
      </c>
      <c r="T24" s="295" t="n"/>
      <c r="U24" s="18" t="n"/>
      <c r="V24" s="61">
        <f>LEN(O24)-1</f>
        <v/>
      </c>
      <c r="W24" s="74">
        <f>(G24/I24)-K24</f>
        <v/>
      </c>
    </row>
    <row r="25">
      <c r="B25" s="5" t="n"/>
      <c r="C25" s="96" t="n">
        <v>780</v>
      </c>
      <c r="D25" s="295" t="n"/>
      <c r="E25" s="95">
        <f>IFERROR(($D$19*C25)/3600,"")</f>
        <v/>
      </c>
      <c r="F25" s="295" t="n"/>
      <c r="G25" s="99" t="n">
        <v>291805.28</v>
      </c>
      <c r="H25" s="295" t="n"/>
      <c r="I25" s="99" t="n">
        <v>291863.44</v>
      </c>
      <c r="J25" s="295" t="n"/>
      <c r="K25" s="100" t="n">
        <v>0.9998</v>
      </c>
      <c r="L25" s="295" t="n"/>
      <c r="M25" s="101" t="n">
        <v>0.02</v>
      </c>
      <c r="N25" s="295" t="n"/>
      <c r="O25" s="100">
        <f>IFERROR(ROUND($D$19/K25,5),"")</f>
        <v/>
      </c>
      <c r="P25" s="295" t="n"/>
      <c r="Q25" s="99" t="n">
        <v>0.15</v>
      </c>
      <c r="R25" s="295" t="n"/>
      <c r="S25" s="104">
        <f>IF(C25="","",
IF(OR($D$12="FISCAL",$D$12="TRANSFERÊNCIA DE CUSTÓDIA"),IF(ABS(M25)&gt;0.2,"REPROVADO","APROVADO"),
IF(ABS(M25)&gt;0.6,"REPROVADO","APROVADO")))</f>
        <v/>
      </c>
      <c r="T25" s="295" t="n"/>
      <c r="U25" s="18" t="n"/>
      <c r="V25" s="61">
        <f>LEN(O25)-1</f>
        <v/>
      </c>
      <c r="W25" s="74">
        <f>(G25/I25)-K25</f>
        <v/>
      </c>
    </row>
    <row r="26">
      <c r="B26" s="5" t="n"/>
      <c r="C26" s="96" t="n">
        <v>950</v>
      </c>
      <c r="D26" s="295" t="n"/>
      <c r="E26" s="95">
        <f>IFERROR(($D$19*C26)/3600,"")</f>
        <v/>
      </c>
      <c r="F26" s="295" t="n"/>
      <c r="G26" s="99" t="n">
        <v>291750.56</v>
      </c>
      <c r="H26" s="295" t="n"/>
      <c r="I26" s="99" t="n">
        <v>291872.93</v>
      </c>
      <c r="J26" s="295" t="n"/>
      <c r="K26" s="100" t="n">
        <v>0.99958</v>
      </c>
      <c r="L26" s="295" t="n"/>
      <c r="M26" s="101" t="n">
        <v>0.04</v>
      </c>
      <c r="N26" s="295" t="n"/>
      <c r="O26" s="100">
        <f>IFERROR(ROUND($D$19/K26,5),"")</f>
        <v/>
      </c>
      <c r="P26" s="295" t="n"/>
      <c r="Q26" s="99" t="n">
        <v>0.15</v>
      </c>
      <c r="R26" s="295" t="n"/>
      <c r="S26" s="104">
        <f>IF(C26="","",
IF(OR($D$12="FISCAL",$D$12="TRANSFERÊNCIA DE CUSTÓDIA"),IF(ABS(M26)&gt;0.2,"REPROVADO","APROVADO"),
IF(ABS(M26)&gt;0.6,"REPROVADO","APROVADO")))</f>
        <v/>
      </c>
      <c r="T26" s="295" t="n"/>
      <c r="U26" s="18" t="n"/>
      <c r="V26" s="61">
        <f>LEN(O26)-1</f>
        <v/>
      </c>
      <c r="W26" s="74">
        <f>(G26/I26)-K26</f>
        <v/>
      </c>
    </row>
    <row r="27">
      <c r="B27" s="5" t="n"/>
      <c r="C27" s="96" t="n">
        <v>1160</v>
      </c>
      <c r="D27" s="295" t="n"/>
      <c r="E27" s="95">
        <f>IFERROR(($D$19*C27)/3600,"")</f>
        <v/>
      </c>
      <c r="F27" s="295" t="n"/>
      <c r="G27" s="99" t="n">
        <v>291644.07</v>
      </c>
      <c r="H27" s="295" t="n"/>
      <c r="I27" s="99" t="n">
        <v>291778.09</v>
      </c>
      <c r="J27" s="295" t="n"/>
      <c r="K27" s="100" t="n">
        <v>0.99954</v>
      </c>
      <c r="L27" s="295" t="n"/>
      <c r="M27" s="101" t="n">
        <v>0.05</v>
      </c>
      <c r="N27" s="295" t="n"/>
      <c r="O27" s="100">
        <f>IFERROR(ROUND($D$19/K27,5),"")</f>
        <v/>
      </c>
      <c r="P27" s="295" t="n"/>
      <c r="Q27" s="99" t="n">
        <v>0.15</v>
      </c>
      <c r="R27" s="295" t="n"/>
      <c r="S27" s="104">
        <f>IF(C27="","",
IF(OR($D$12="FISCAL",$D$12="TRANSFERÊNCIA DE CUSTÓDIA"),IF(ABS(M27)&gt;0.2,"REPROVADO","APROVADO"),
IF(ABS(M27)&gt;0.6,"REPROVADO","APROVADO")))</f>
        <v/>
      </c>
      <c r="T27" s="295" t="n"/>
      <c r="U27" s="18" t="n"/>
      <c r="V27" s="61">
        <f>LEN(O27)-1</f>
        <v/>
      </c>
      <c r="W27" s="74">
        <f>(G27/I27)-K27</f>
        <v/>
      </c>
    </row>
    <row r="28">
      <c r="B28" s="5" t="n"/>
      <c r="C28" s="96" t="n">
        <v>1400</v>
      </c>
      <c r="D28" s="295" t="n"/>
      <c r="E28" s="95">
        <f>IFERROR(($D$19*C28)/3600,"")</f>
        <v/>
      </c>
      <c r="F28" s="295" t="n"/>
      <c r="G28" s="99" t="n">
        <v>444736.19</v>
      </c>
      <c r="H28" s="295" t="n"/>
      <c r="I28" s="99" t="n">
        <v>445234.71</v>
      </c>
      <c r="J28" s="295" t="n"/>
      <c r="K28" s="100" t="n">
        <v>0.99888</v>
      </c>
      <c r="L28" s="295" t="n"/>
      <c r="M28" s="101" t="n">
        <v>0.11</v>
      </c>
      <c r="N28" s="295" t="n"/>
      <c r="O28" s="100">
        <f>IFERROR(ROUND($D$19/K28,5),"")</f>
        <v/>
      </c>
      <c r="P28" s="295" t="n"/>
      <c r="Q28" s="99" t="n">
        <v>0.15</v>
      </c>
      <c r="R28" s="295" t="n"/>
      <c r="S28" s="104">
        <f>IF(C28="","",
IF(OR($D$12="FISCAL",$D$12="TRANSFERÊNCIA DE CUSTÓDIA"),IF(ABS(M28)&gt;0.2,"REPROVADO","APROVADO"),
IF(ABS(M28)&gt;0.6,"REPROVADO","APROVADO")))</f>
        <v/>
      </c>
      <c r="T28" s="295" t="n"/>
      <c r="U28" s="18" t="n"/>
      <c r="V28" s="61">
        <f>LEN(O28)-1</f>
        <v/>
      </c>
      <c r="W28" s="74">
        <f>(G28/I28)-K28</f>
        <v/>
      </c>
    </row>
    <row r="29">
      <c r="B29" s="5" t="n"/>
      <c r="C29" s="96" t="n">
        <v>1700</v>
      </c>
      <c r="D29" s="295" t="n"/>
      <c r="E29" s="95">
        <f>IFERROR(($D$19*C29)/3600,"")</f>
        <v/>
      </c>
      <c r="F29" s="295" t="n"/>
      <c r="G29" s="99" t="n">
        <v>443800.32</v>
      </c>
      <c r="H29" s="295" t="n"/>
      <c r="I29" s="99" t="n">
        <v>444324.32</v>
      </c>
      <c r="J29" s="295" t="n"/>
      <c r="K29" s="100" t="n">
        <v>0.99882</v>
      </c>
      <c r="L29" s="295" t="n"/>
      <c r="M29" s="101" t="n">
        <v>0.12</v>
      </c>
      <c r="N29" s="295" t="n"/>
      <c r="O29" s="100">
        <f>IFERROR(ROUND($D$19/K29,5),"")</f>
        <v/>
      </c>
      <c r="P29" s="295" t="n"/>
      <c r="Q29" s="99" t="n">
        <v>0.15</v>
      </c>
      <c r="R29" s="295" t="n"/>
      <c r="S29" s="104">
        <f>IF(C29="","",
IF(OR($D$12="FISCAL",$D$12="TRANSFERÊNCIA DE CUSTÓDIA"),IF(ABS(M29)&gt;0.2,"REPROVADO","APROVADO"),
IF(ABS(M29)&gt;0.6,"REPROVADO","APROVADO")))</f>
        <v/>
      </c>
      <c r="T29" s="295" t="n"/>
      <c r="U29" s="18" t="n"/>
      <c r="V29" s="61">
        <f>LEN(O29)-1</f>
        <v/>
      </c>
      <c r="W29" s="74">
        <f>(G29/I29)-K29</f>
        <v/>
      </c>
    </row>
    <row r="30">
      <c r="B30" s="5" t="n"/>
      <c r="C30" s="96" t="n">
        <v>2060</v>
      </c>
      <c r="D30" s="295" t="n"/>
      <c r="E30" s="95">
        <f>IFERROR(($D$19*C30)/3600,"")</f>
        <v/>
      </c>
      <c r="F30" s="295" t="n"/>
      <c r="G30" s="99" t="n">
        <v>443872.38</v>
      </c>
      <c r="H30" s="295" t="n"/>
      <c r="I30" s="99" t="n">
        <v>444495.02</v>
      </c>
      <c r="J30" s="295" t="n"/>
      <c r="K30" s="100" t="n">
        <v>0.9986</v>
      </c>
      <c r="L30" s="295" t="n"/>
      <c r="M30" s="101" t="n">
        <v>0.14</v>
      </c>
      <c r="N30" s="295" t="n"/>
      <c r="O30" s="100">
        <f>IFERROR(ROUND($D$19/K30,5),"")</f>
        <v/>
      </c>
      <c r="P30" s="295" t="n"/>
      <c r="Q30" s="99" t="n">
        <v>0.15</v>
      </c>
      <c r="R30" s="295" t="n"/>
      <c r="S30" s="104">
        <f>IF(C30="","",
IF(OR($D$12="FISCAL",$D$12="TRANSFERÊNCIA DE CUSTÓDIA"),IF(ABS(M30)&gt;0.2,"REPROVADO","APROVADO"),
IF(ABS(M30)&gt;0.6,"REPROVADO","APROVADO")))</f>
        <v/>
      </c>
      <c r="T30" s="295" t="n"/>
      <c r="U30" s="18" t="n"/>
      <c r="V30" s="61">
        <f>LEN(O30)-1</f>
        <v/>
      </c>
      <c r="W30" s="74">
        <f>(G30/I30)-K30</f>
        <v/>
      </c>
    </row>
    <row r="31" ht="15.75" customHeight="1" thickBot="1">
      <c r="B31" s="5" t="n"/>
      <c r="C31" s="199" t="n">
        <v>2500</v>
      </c>
      <c r="D31" s="296" t="n"/>
      <c r="E31" s="106">
        <f>IFERROR(($D$19*C31)/3600,"")</f>
        <v/>
      </c>
      <c r="F31" s="296" t="n"/>
      <c r="G31" s="109" t="n">
        <v>442423.01</v>
      </c>
      <c r="H31" s="296" t="n"/>
      <c r="I31" s="109" t="n">
        <v>443176.86</v>
      </c>
      <c r="J31" s="296" t="n"/>
      <c r="K31" s="110" t="n">
        <v>0.9983</v>
      </c>
      <c r="L31" s="296" t="n"/>
      <c r="M31" s="111" t="n">
        <v>0.17</v>
      </c>
      <c r="N31" s="296" t="n"/>
      <c r="O31" s="110">
        <f>IFERROR(ROUND($D$19/K31,5),"")</f>
        <v/>
      </c>
      <c r="P31" s="296" t="n"/>
      <c r="Q31" s="109" t="n">
        <v>0.15</v>
      </c>
      <c r="R31" s="296" t="n"/>
      <c r="S31" s="114">
        <f>IF(C31="","",
IF(OR($D$12="FISCAL",$D$12="TRANSFERÊNCIA DE CUSTÓDIA"),IF(ABS(M31)&gt;0.2,"REPROVADO","APROVADO"),
IF(ABS(M31)&gt;0.6,"REPROVADO","APROVADO")))</f>
        <v/>
      </c>
      <c r="T31" s="296" t="n"/>
      <c r="U31" s="18" t="n"/>
      <c r="V31" s="61">
        <f>LEN(O31)-1</f>
        <v/>
      </c>
      <c r="W31" s="74">
        <f>(G31/I31)-K31</f>
        <v/>
      </c>
    </row>
    <row r="32" hidden="1" ht="15" customHeight="1">
      <c r="B32" s="5" t="n"/>
      <c r="C32" s="177" t="n"/>
      <c r="D32" s="297" t="n"/>
      <c r="E32" s="298">
        <f>IFERROR(($D$19*C32)/3600,"")</f>
        <v/>
      </c>
      <c r="F32" s="299" t="n"/>
      <c r="G32" s="300" t="n"/>
      <c r="H32" s="297" t="n"/>
      <c r="I32" s="301" t="n"/>
      <c r="J32" s="297" t="n"/>
      <c r="K32" s="302">
        <f>IFERROR(G32/I32,"")</f>
        <v/>
      </c>
      <c r="L32" s="299" t="n"/>
      <c r="M32" s="85" t="n"/>
      <c r="N32" s="297" t="n"/>
      <c r="O32" s="302">
        <f>IFERROR(ROUND($D$19/K32,5),"")</f>
        <v/>
      </c>
      <c r="P32" s="299" t="n"/>
      <c r="Q32" s="303" t="n"/>
      <c r="R32" s="299" t="n"/>
      <c r="S32" s="92">
        <f>IF(C32="","",
IF(OR($D$12="FISCAL",$D$12="TRANSFERÊNCIA DE CUSTÓDIA"),IF(ABS(M32)&gt;0.2,"REPROVADO","APROVADO"),
IF(ABS(M32)&gt;0.6,"REPROVADO","APROVADO")))</f>
        <v/>
      </c>
      <c r="T32" s="299" t="n"/>
      <c r="U32" s="18" t="n"/>
      <c r="V32" s="61">
        <f>LEN(O32)-1</f>
        <v/>
      </c>
    </row>
    <row r="33" hidden="1" ht="15" customHeight="1">
      <c r="B33" s="5" t="n"/>
      <c r="C33" s="147" t="n"/>
      <c r="D33" s="295" t="n"/>
      <c r="E33" s="304">
        <f>IFERROR(($D$19*C33)/3600,"")</f>
        <v/>
      </c>
      <c r="F33" s="305" t="n"/>
      <c r="G33" s="306" t="n"/>
      <c r="H33" s="295" t="n"/>
      <c r="I33" s="307" t="n"/>
      <c r="J33" s="295" t="n"/>
      <c r="K33" s="308">
        <f>IFERROR(G33/I33,"")</f>
        <v/>
      </c>
      <c r="L33" s="305" t="n"/>
      <c r="M33" s="85" t="n"/>
      <c r="N33" s="297" t="n"/>
      <c r="O33" s="308">
        <f>IFERROR(ROUND($D$19/K33,5),"")</f>
        <v/>
      </c>
      <c r="P33" s="305" t="n"/>
      <c r="Q33" s="303" t="n"/>
      <c r="R33" s="299" t="n"/>
      <c r="S33" s="92">
        <f>IF(C33="","",
IF(OR($D$12="FISCAL",$D$12="TRANSFERÊNCIA DE CUSTÓDIA"),IF(ABS(M33)&gt;0.2,"REPROVADO","APROVADO"),
IF(ABS(M33)&gt;0.6,"REPROVADO","APROVADO")))</f>
        <v/>
      </c>
      <c r="T33" s="299" t="n"/>
      <c r="U33" s="18" t="n"/>
      <c r="V33" s="61">
        <f>LEN(O33)-1</f>
        <v/>
      </c>
    </row>
    <row r="34" hidden="1" ht="15" customHeight="1">
      <c r="B34" s="5" t="n"/>
      <c r="C34" s="147" t="n"/>
      <c r="D34" s="295" t="n"/>
      <c r="E34" s="304">
        <f>IFERROR(($D$19*C34)/3600,"")</f>
        <v/>
      </c>
      <c r="F34" s="305" t="n"/>
      <c r="G34" s="306" t="n"/>
      <c r="H34" s="295" t="n"/>
      <c r="I34" s="309" t="n"/>
      <c r="J34" s="305" t="n"/>
      <c r="K34" s="308">
        <f>IFERROR(G34/I34,"")</f>
        <v/>
      </c>
      <c r="L34" s="305" t="n"/>
      <c r="M34" s="85" t="n"/>
      <c r="N34" s="297" t="n"/>
      <c r="O34" s="308">
        <f>IFERROR(ROUND($D$19/K34,5),"")</f>
        <v/>
      </c>
      <c r="P34" s="305" t="n"/>
      <c r="Q34" s="303" t="n"/>
      <c r="R34" s="299" t="n"/>
      <c r="S34" s="92">
        <f>IF(C34="","",
IF(OR($D$12="FISCAL",$D$12="TRANSFERÊNCIA DE CUSTÓDIA"),IF(ABS(M34)&gt;0.2,"REPROVADO","APROVADO"),
IF(ABS(M34)&gt;0.6,"REPROVADO","APROVADO")))</f>
        <v/>
      </c>
      <c r="T34" s="299" t="n"/>
      <c r="U34" s="18" t="n"/>
      <c r="V34" s="61">
        <f>LEN(O34)-1</f>
        <v/>
      </c>
    </row>
    <row r="35" hidden="1" ht="15" customHeight="1">
      <c r="B35" s="5" t="n"/>
      <c r="C35" s="147" t="n"/>
      <c r="D35" s="295" t="n"/>
      <c r="E35" s="304">
        <f>IFERROR(($D$19*C35)/3600,"")</f>
        <v/>
      </c>
      <c r="F35" s="305" t="n"/>
      <c r="G35" s="306" t="n"/>
      <c r="H35" s="295" t="n"/>
      <c r="I35" s="309" t="n"/>
      <c r="J35" s="305" t="n"/>
      <c r="K35" s="308">
        <f>IFERROR(G35/I35,"")</f>
        <v/>
      </c>
      <c r="L35" s="305" t="n"/>
      <c r="M35" s="85" t="n"/>
      <c r="N35" s="297" t="n"/>
      <c r="O35" s="308">
        <f>IFERROR(ROUND($D$19/K35,5),"")</f>
        <v/>
      </c>
      <c r="P35" s="305" t="n"/>
      <c r="Q35" s="303" t="n"/>
      <c r="R35" s="299" t="n"/>
      <c r="S35" s="92">
        <f>IF(C35="","",
IF(OR($D$12="FISCAL",$D$12="TRANSFERÊNCIA DE CUSTÓDIA"),IF(ABS(M35)&gt;0.2,"REPROVADO","APROVADO"),
IF(ABS(M35)&gt;0.6,"REPROVADO","APROVADO")))</f>
        <v/>
      </c>
      <c r="T35" s="299" t="n"/>
      <c r="U35" s="18" t="n"/>
      <c r="V35" s="61">
        <f>LEN(O35)-1</f>
        <v/>
      </c>
    </row>
    <row r="36" hidden="1" ht="15" customHeight="1">
      <c r="B36" s="5" t="n"/>
      <c r="C36" s="147" t="n"/>
      <c r="D36" s="295" t="n"/>
      <c r="E36" s="304">
        <f>IFERROR(($D$19*C36)/3600,"")</f>
        <v/>
      </c>
      <c r="F36" s="305" t="n"/>
      <c r="G36" s="306" t="n"/>
      <c r="H36" s="295" t="n"/>
      <c r="I36" s="309" t="n"/>
      <c r="J36" s="305" t="n"/>
      <c r="K36" s="308">
        <f>IFERROR(G36/I36,"")</f>
        <v/>
      </c>
      <c r="L36" s="305" t="n"/>
      <c r="M36" s="85" t="n"/>
      <c r="N36" s="297" t="n"/>
      <c r="O36" s="308">
        <f>IFERROR(ROUND($D$19/K36,5),"")</f>
        <v/>
      </c>
      <c r="P36" s="305" t="n"/>
      <c r="Q36" s="303" t="n"/>
      <c r="R36" s="299" t="n"/>
      <c r="S36" s="92">
        <f>IF(C36="","",
IF(OR($D$12="FISCAL",$D$12="TRANSFERÊNCIA DE CUSTÓDIA"),IF(ABS(M36)&gt;0.2,"REPROVADO","APROVADO"),
IF(ABS(M36)&gt;0.6,"REPROVADO","APROVADO")))</f>
        <v/>
      </c>
      <c r="T36" s="299" t="n"/>
      <c r="U36" s="18" t="n"/>
      <c r="V36" s="61">
        <f>LEN(O36)-1</f>
        <v/>
      </c>
    </row>
    <row r="37" hidden="1" ht="15" customHeight="1">
      <c r="B37" s="5" t="n"/>
      <c r="C37" s="147" t="n"/>
      <c r="D37" s="295" t="n"/>
      <c r="E37" s="304">
        <f>IFERROR(($D$19*C37)/3600,"")</f>
        <v/>
      </c>
      <c r="F37" s="305" t="n"/>
      <c r="G37" s="306" t="n"/>
      <c r="H37" s="295" t="n"/>
      <c r="I37" s="309" t="n"/>
      <c r="J37" s="305" t="n"/>
      <c r="K37" s="308">
        <f>IFERROR(G37/I37,"")</f>
        <v/>
      </c>
      <c r="L37" s="305" t="n"/>
      <c r="M37" s="85" t="n"/>
      <c r="N37" s="297" t="n"/>
      <c r="O37" s="308">
        <f>IFERROR(ROUND($D$19/K37,5),"")</f>
        <v/>
      </c>
      <c r="P37" s="305" t="n"/>
      <c r="Q37" s="303" t="n"/>
      <c r="R37" s="299" t="n"/>
      <c r="S37" s="92">
        <f>IF(C37="","",
IF(OR($D$12="FISCAL",$D$12="TRANSFERÊNCIA DE CUSTÓDIA"),IF(ABS(M37)&gt;0.2,"REPROVADO","APROVADO"),
IF(ABS(M37)&gt;0.6,"REPROVADO","APROVADO")))</f>
        <v/>
      </c>
      <c r="T37" s="299" t="n"/>
      <c r="U37" s="18" t="n"/>
      <c r="V37" s="61">
        <f>LEN(O37)-1</f>
        <v/>
      </c>
    </row>
    <row r="38" hidden="1" ht="15" customHeight="1">
      <c r="B38" s="5" t="n"/>
      <c r="C38" s="147" t="n"/>
      <c r="D38" s="295" t="n"/>
      <c r="E38" s="304">
        <f>IFERROR(($D$19*C38)/3600,"")</f>
        <v/>
      </c>
      <c r="F38" s="305" t="n"/>
      <c r="G38" s="306" t="n"/>
      <c r="H38" s="295" t="n"/>
      <c r="I38" s="309" t="n"/>
      <c r="J38" s="305" t="n"/>
      <c r="K38" s="308">
        <f>IFERROR(G38/I38,"")</f>
        <v/>
      </c>
      <c r="L38" s="305" t="n"/>
      <c r="M38" s="85" t="n"/>
      <c r="N38" s="297" t="n"/>
      <c r="O38" s="308">
        <f>IFERROR(ROUND($D$19/K38,5),"")</f>
        <v/>
      </c>
      <c r="P38" s="305" t="n"/>
      <c r="Q38" s="303" t="n"/>
      <c r="R38" s="299" t="n"/>
      <c r="S38" s="92">
        <f>IF(C38="","",
IF(OR($D$12="FISCAL",$D$12="TRANSFERÊNCIA DE CUSTÓDIA"),IF(ABS(M38)&gt;0.2,"REPROVADO","APROVADO"),
IF(ABS(M38)&gt;0.6,"REPROVADO","APROVADO")))</f>
        <v/>
      </c>
      <c r="T38" s="299" t="n"/>
      <c r="U38" s="18" t="n"/>
      <c r="V38" s="61">
        <f>LEN(O38)-1</f>
        <v/>
      </c>
    </row>
    <row r="39" hidden="1" ht="15" customHeight="1">
      <c r="B39" s="5" t="n"/>
      <c r="C39" s="147" t="n"/>
      <c r="D39" s="295" t="n"/>
      <c r="E39" s="304">
        <f>IFERROR(($D$19*C39)/3600,"")</f>
        <v/>
      </c>
      <c r="F39" s="305" t="n"/>
      <c r="G39" s="306" t="n"/>
      <c r="H39" s="295" t="n"/>
      <c r="I39" s="309" t="n"/>
      <c r="J39" s="305" t="n"/>
      <c r="K39" s="308">
        <f>IFERROR(G39/I39,"")</f>
        <v/>
      </c>
      <c r="L39" s="305" t="n"/>
      <c r="M39" s="85" t="n"/>
      <c r="N39" s="297" t="n"/>
      <c r="O39" s="308">
        <f>IFERROR(ROUND($D$19/K39,5),"")</f>
        <v/>
      </c>
      <c r="P39" s="305" t="n"/>
      <c r="Q39" s="303" t="n"/>
      <c r="R39" s="299" t="n"/>
      <c r="S39" s="92">
        <f>IF(C39="","",
IF(OR($D$12="FISCAL",$D$12="TRANSFERÊNCIA DE CUSTÓDIA"),IF(ABS(M39)&gt;0.2,"REPROVADO","APROVADO"),
IF(ABS(M39)&gt;0.6,"REPROVADO","APROVADO")))</f>
        <v/>
      </c>
      <c r="T39" s="299" t="n"/>
      <c r="U39" s="18" t="n"/>
      <c r="V39" s="61">
        <f>LEN(O39)-1</f>
        <v/>
      </c>
    </row>
    <row r="40" hidden="1" ht="15" customHeight="1">
      <c r="B40" s="5" t="n"/>
      <c r="C40" s="147" t="n"/>
      <c r="D40" s="295" t="n"/>
      <c r="E40" s="304">
        <f>IFERROR(($D$19*C40)/3600,"")</f>
        <v/>
      </c>
      <c r="F40" s="305" t="n"/>
      <c r="G40" s="306" t="n"/>
      <c r="H40" s="295" t="n"/>
      <c r="I40" s="309" t="n"/>
      <c r="J40" s="305" t="n"/>
      <c r="K40" s="308">
        <f>IFERROR(G40/I40,"")</f>
        <v/>
      </c>
      <c r="L40" s="305" t="n"/>
      <c r="M40" s="85" t="n"/>
      <c r="N40" s="297" t="n"/>
      <c r="O40" s="308">
        <f>IFERROR(ROUND($D$19/K40,5),"")</f>
        <v/>
      </c>
      <c r="P40" s="305" t="n"/>
      <c r="Q40" s="303" t="n"/>
      <c r="R40" s="299" t="n"/>
      <c r="S40" s="92">
        <f>IF(C40="","",
IF(OR($D$12="FISCAL",$D$12="TRANSFERÊNCIA DE CUSTÓDIA"),IF(ABS(M40)&gt;0.2,"REPROVADO","APROVADO"),
IF(ABS(M40)&gt;0.6,"REPROVADO","APROVADO")))</f>
        <v/>
      </c>
      <c r="T40" s="299" t="n"/>
      <c r="U40" s="18" t="n"/>
      <c r="V40" s="61">
        <f>LEN(O40)-1</f>
        <v/>
      </c>
    </row>
    <row r="41" hidden="1" ht="15.75" customHeight="1" thickBot="1">
      <c r="B41" s="5" t="n"/>
      <c r="C41" s="187" t="n"/>
      <c r="D41" s="296" t="n"/>
      <c r="E41" s="310">
        <f>IFERROR(($D$19*C41)/3600,"")</f>
        <v/>
      </c>
      <c r="F41" s="311" t="n"/>
      <c r="G41" s="312" t="n"/>
      <c r="H41" s="296" t="n"/>
      <c r="I41" s="313" t="n"/>
      <c r="J41" s="296" t="n"/>
      <c r="K41" s="314">
        <f>IFERROR(G41/I41,"")</f>
        <v/>
      </c>
      <c r="L41" s="311" t="n"/>
      <c r="M41" s="191" t="n"/>
      <c r="N41" s="315" t="n"/>
      <c r="O41" s="314">
        <f>IFERROR(ROUND($D$19/K41,5),"")</f>
        <v/>
      </c>
      <c r="P41" s="311" t="n"/>
      <c r="Q41" s="316" t="n"/>
      <c r="R41" s="317" t="n"/>
      <c r="S41" s="174">
        <f>IF(C41="","",
IF(OR($D$12="FISCAL",$D$12="TRANSFERÊNCIA DE CUSTÓDIA"),IF(ABS(M41)&gt;0.2,"REPROVADO","APROVADO"),
IF(ABS(M41)&gt;0.6,"REPROVADO","APROVADO")))</f>
        <v/>
      </c>
      <c r="T41" s="317" t="n"/>
      <c r="U41" s="18" t="n"/>
      <c r="V41" s="61">
        <f>LEN(O41)-1</f>
        <v/>
      </c>
    </row>
    <row r="42" ht="15.75" customHeight="1" thickBot="1">
      <c r="B42" s="5" t="n"/>
      <c r="U42" s="6" t="n"/>
    </row>
    <row r="43" ht="19.5" customHeight="1" thickBot="1">
      <c r="B43" s="5" t="n"/>
      <c r="C43" s="287" t="inlineStr">
        <is>
          <t>Fórmulas</t>
        </is>
      </c>
      <c r="D43" s="288" t="n"/>
      <c r="E43" s="288" t="n"/>
      <c r="F43" s="288" t="n"/>
      <c r="G43" s="288" t="n"/>
      <c r="H43" s="288" t="n"/>
      <c r="I43" s="288" t="n"/>
      <c r="J43" s="288" t="n"/>
      <c r="K43" s="288" t="n"/>
      <c r="L43" s="288" t="n"/>
      <c r="M43" s="288" t="n"/>
      <c r="N43" s="288" t="n"/>
      <c r="O43" s="288" t="n"/>
      <c r="P43" s="288" t="n"/>
      <c r="Q43" s="288" t="n"/>
      <c r="R43" s="288" t="n"/>
      <c r="S43" s="288" t="n"/>
      <c r="T43" s="289" t="n"/>
      <c r="U43" s="6" t="n"/>
    </row>
    <row r="44">
      <c r="B44" s="5" t="n"/>
      <c r="U44" s="6" t="n"/>
    </row>
    <row r="45">
      <c r="B45" s="5" t="n"/>
      <c r="C45" s="160" t="inlineStr">
        <is>
          <t>F (Hz) = (K-Factor do medidor*Vazão) / 3600</t>
        </is>
      </c>
      <c r="G45" s="160" t="n"/>
      <c r="H45" s="160" t="n"/>
      <c r="I45" s="160" t="inlineStr">
        <is>
          <t>MF = Volume de Referência / Volume do Medidor</t>
        </is>
      </c>
      <c r="M45" s="160" t="inlineStr">
        <is>
          <t>KFc = K-Factor do medidor / MF</t>
        </is>
      </c>
      <c r="U45" s="6" t="n"/>
    </row>
    <row r="46">
      <c r="B46" s="5" t="n"/>
      <c r="U46" s="6" t="n"/>
    </row>
    <row r="47">
      <c r="B47" s="5" t="n"/>
      <c r="C47" s="2" t="inlineStr">
        <is>
          <t>F = Frequência em Hz</t>
        </is>
      </c>
      <c r="I47" s="2" t="inlineStr">
        <is>
          <t>MF = Meter Factor</t>
        </is>
      </c>
      <c r="M47" s="2" t="inlineStr">
        <is>
          <t>KFc = K-Factor Corrigido</t>
        </is>
      </c>
      <c r="U47" s="6" t="n"/>
    </row>
    <row r="48">
      <c r="B48" s="5" t="n"/>
      <c r="C48" s="2" t="inlineStr">
        <is>
          <t>K-Factor do medidor</t>
        </is>
      </c>
      <c r="I48" s="2" t="inlineStr">
        <is>
          <t>Volume de Referência em m³</t>
        </is>
      </c>
      <c r="M48" s="2" t="inlineStr">
        <is>
          <t>K- Factor do medidor</t>
        </is>
      </c>
      <c r="U48" s="6" t="n"/>
    </row>
    <row r="49">
      <c r="B49" s="5" t="n"/>
      <c r="C49" s="2" t="inlineStr">
        <is>
          <t>Vazão em m³/h</t>
        </is>
      </c>
      <c r="I49" s="2" t="inlineStr">
        <is>
          <t>Volume do Medidor em m³</t>
        </is>
      </c>
      <c r="M49" s="2" t="inlineStr">
        <is>
          <t>MF da vazão</t>
        </is>
      </c>
      <c r="U49" s="6" t="n"/>
    </row>
    <row r="50">
      <c r="B50" s="5" t="n"/>
      <c r="C50" s="2" t="inlineStr">
        <is>
          <t>3600 referente à conversão de horas para segundos</t>
        </is>
      </c>
      <c r="I50" s="180" t="n"/>
      <c r="U50" s="6" t="n"/>
    </row>
    <row r="51" ht="15.75" customHeight="1" thickBot="1">
      <c r="B51" s="5" t="n"/>
      <c r="U51" s="6" t="n"/>
    </row>
    <row r="52">
      <c r="B52" s="5" t="n"/>
      <c r="C52" s="287" t="inlineStr">
        <is>
          <t>Dados à Serem Configurados no Computador de Vazão</t>
        </is>
      </c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  <c r="N52" s="318" t="n"/>
      <c r="O52" s="318" t="n"/>
      <c r="P52" s="318" t="n"/>
      <c r="Q52" s="318" t="n"/>
      <c r="R52" s="318" t="n"/>
      <c r="S52" s="318" t="n"/>
      <c r="T52" s="319" t="n"/>
      <c r="U52" s="6" t="n"/>
    </row>
    <row r="53" ht="15.75" customHeight="1" thickBot="1">
      <c r="B53" s="5" t="n"/>
      <c r="C53" s="320" t="n"/>
      <c r="D53" s="321" t="n"/>
      <c r="E53" s="321" t="n"/>
      <c r="F53" s="321" t="n"/>
      <c r="G53" s="321" t="n"/>
      <c r="H53" s="321" t="n"/>
      <c r="I53" s="321" t="n"/>
      <c r="J53" s="321" t="n"/>
      <c r="K53" s="321" t="n"/>
      <c r="L53" s="321" t="n"/>
      <c r="M53" s="321" t="n"/>
      <c r="N53" s="321" t="n"/>
      <c r="O53" s="321" t="n"/>
      <c r="P53" s="321" t="n"/>
      <c r="Q53" s="321" t="n"/>
      <c r="R53" s="321" t="n"/>
      <c r="S53" s="321" t="n"/>
      <c r="T53" s="317" t="n"/>
      <c r="U53" s="6" t="n"/>
    </row>
    <row r="54" ht="19.5" customHeight="1" thickBot="1">
      <c r="B54" s="5" t="n"/>
      <c r="C54" s="26" t="n"/>
      <c r="D54" s="26" t="n"/>
      <c r="E54" s="26" t="n"/>
      <c r="F54" s="26" t="n"/>
      <c r="G54" s="26" t="n"/>
      <c r="H54" s="26" t="n"/>
      <c r="I54" s="166" t="n"/>
      <c r="J54" s="166" t="n"/>
      <c r="K54" s="166" t="n"/>
      <c r="L54" s="166" t="n"/>
      <c r="M54" s="166" t="n"/>
      <c r="N54" s="26" t="n"/>
      <c r="O54" s="26" t="n"/>
      <c r="P54" s="26" t="n"/>
      <c r="Q54" s="26" t="n"/>
      <c r="R54" s="26" t="n"/>
      <c r="S54" s="26" t="n"/>
      <c r="T54" s="26" t="n"/>
      <c r="U54" s="6" t="n"/>
    </row>
    <row r="55" ht="15.75" customHeight="1" thickBot="1">
      <c r="B55" s="5" t="n"/>
      <c r="H55" s="70" t="inlineStr">
        <is>
          <t>N°</t>
        </is>
      </c>
      <c r="I55" s="322" t="inlineStr">
        <is>
          <t>Vazão da Calibração (m³/h)</t>
        </is>
      </c>
      <c r="J55" s="319" t="n"/>
      <c r="K55" s="183" t="inlineStr">
        <is>
          <t>Frequência (Hz)</t>
        </is>
      </c>
      <c r="L55" s="322" t="inlineStr">
        <is>
          <t>K-factor corrigido</t>
        </is>
      </c>
      <c r="M55" s="319" t="n"/>
      <c r="U55" s="6" t="n"/>
    </row>
    <row r="56" ht="15.75" customHeight="1" thickBot="1">
      <c r="B56" s="5" t="n"/>
      <c r="H56" s="77" t="n">
        <v>1</v>
      </c>
      <c r="I56" s="122">
        <f>IF(C22="","",C22)</f>
        <v/>
      </c>
      <c r="J56" s="294" t="n"/>
      <c r="K56" s="78">
        <f>E22</f>
        <v/>
      </c>
      <c r="L56" s="123">
        <f>IF(O22="","",O22)</f>
        <v/>
      </c>
      <c r="M56" s="294" t="n"/>
      <c r="U56" s="6" t="n"/>
      <c r="XFC56" s="230" t="inlineStr">
        <is>
          <t>Meter Factor</t>
        </is>
      </c>
      <c r="XFD56" s="315" t="n"/>
    </row>
    <row r="57">
      <c r="B57" s="5" t="n"/>
      <c r="H57" s="79" t="n">
        <v>2</v>
      </c>
      <c r="I57" s="95">
        <f>IF(C23="","",C23)</f>
        <v/>
      </c>
      <c r="J57" s="295" t="n"/>
      <c r="K57" s="76">
        <f>E23</f>
        <v/>
      </c>
      <c r="L57" s="100">
        <f>IF(O23="","",O23)</f>
        <v/>
      </c>
      <c r="M57" s="295" t="n"/>
      <c r="U57" s="6" t="n"/>
      <c r="XFC57" s="227">
        <f>K22</f>
        <v/>
      </c>
      <c r="XFD57" s="297" t="n"/>
    </row>
    <row r="58">
      <c r="B58" s="5" t="n"/>
      <c r="H58" s="79" t="n">
        <v>3</v>
      </c>
      <c r="I58" s="95">
        <f>IF(C24="","",C24)</f>
        <v/>
      </c>
      <c r="J58" s="295" t="n"/>
      <c r="K58" s="76">
        <f>E24</f>
        <v/>
      </c>
      <c r="L58" s="100">
        <f>IF(O24="","",O24)</f>
        <v/>
      </c>
      <c r="M58" s="295" t="n"/>
      <c r="U58" s="6" t="n"/>
      <c r="XFC58" s="227">
        <f>K23</f>
        <v/>
      </c>
      <c r="XFD58" s="297" t="n"/>
    </row>
    <row r="59">
      <c r="B59" s="5" t="n"/>
      <c r="H59" s="79" t="n">
        <v>4</v>
      </c>
      <c r="I59" s="95">
        <f>IF(C25="","",C25)</f>
        <v/>
      </c>
      <c r="J59" s="295" t="n"/>
      <c r="K59" s="76">
        <f>E25</f>
        <v/>
      </c>
      <c r="L59" s="100">
        <f>IF(O25="","",O25)</f>
        <v/>
      </c>
      <c r="M59" s="295" t="n"/>
      <c r="U59" s="6" t="n"/>
      <c r="XFC59" s="227">
        <f>K24</f>
        <v/>
      </c>
      <c r="XFD59" s="297" t="n"/>
    </row>
    <row r="60">
      <c r="B60" s="5" t="n"/>
      <c r="H60" s="79" t="n">
        <v>5</v>
      </c>
      <c r="I60" s="95">
        <f>IF(C26="","",C26)</f>
        <v/>
      </c>
      <c r="J60" s="295" t="n"/>
      <c r="K60" s="76">
        <f>E26</f>
        <v/>
      </c>
      <c r="L60" s="100">
        <f>IF(O26="","",O26)</f>
        <v/>
      </c>
      <c r="M60" s="295" t="n"/>
      <c r="U60" s="6" t="n"/>
      <c r="XFC60" s="227" t="n"/>
      <c r="XFD60" s="227" t="n"/>
    </row>
    <row r="61">
      <c r="B61" s="5" t="n"/>
      <c r="H61" s="79" t="n">
        <v>6</v>
      </c>
      <c r="I61" s="95">
        <f>IF(C27="","",C27)</f>
        <v/>
      </c>
      <c r="J61" s="295" t="n"/>
      <c r="K61" s="76">
        <f>E27</f>
        <v/>
      </c>
      <c r="L61" s="100">
        <f>IF(O27="","",O27)</f>
        <v/>
      </c>
      <c r="M61" s="295" t="n"/>
      <c r="U61" s="6" t="n"/>
      <c r="XFC61" s="227" t="n"/>
      <c r="XFD61" s="227" t="n"/>
    </row>
    <row r="62">
      <c r="B62" s="5" t="n"/>
      <c r="H62" s="79" t="n">
        <v>7</v>
      </c>
      <c r="I62" s="95">
        <f>IF(C28="","",C28)</f>
        <v/>
      </c>
      <c r="J62" s="295" t="n"/>
      <c r="K62" s="76">
        <f>E28</f>
        <v/>
      </c>
      <c r="L62" s="100">
        <f>IF(O28="","",O28)</f>
        <v/>
      </c>
      <c r="M62" s="295" t="n"/>
      <c r="U62" s="6" t="n"/>
      <c r="XFC62" s="227" t="n"/>
      <c r="XFD62" s="227" t="n"/>
    </row>
    <row r="63">
      <c r="B63" s="5" t="n"/>
      <c r="H63" s="79" t="n">
        <v>8</v>
      </c>
      <c r="I63" s="95">
        <f>IF(C29="","",C29)</f>
        <v/>
      </c>
      <c r="J63" s="295" t="n"/>
      <c r="K63" s="76">
        <f>E29</f>
        <v/>
      </c>
      <c r="L63" s="100">
        <f>IF(O29="","",O29)</f>
        <v/>
      </c>
      <c r="M63" s="295" t="n"/>
      <c r="U63" s="6" t="n"/>
      <c r="XFC63" s="227" t="n"/>
      <c r="XFD63" s="227" t="n"/>
    </row>
    <row r="64">
      <c r="B64" s="5" t="n"/>
      <c r="H64" s="79" t="n">
        <v>9</v>
      </c>
      <c r="I64" s="95">
        <f>IF(C30="","",C30)</f>
        <v/>
      </c>
      <c r="J64" s="295" t="n"/>
      <c r="K64" s="76">
        <f>E30</f>
        <v/>
      </c>
      <c r="L64" s="100">
        <f>IF(O30="","",O30)</f>
        <v/>
      </c>
      <c r="M64" s="295" t="n"/>
      <c r="U64" s="6" t="n"/>
      <c r="XFC64" s="227" t="n"/>
      <c r="XFD64" s="227" t="n"/>
    </row>
    <row r="65" ht="15.75" customHeight="1" thickBot="1">
      <c r="B65" s="5" t="n"/>
      <c r="H65" s="80" t="n">
        <v>10</v>
      </c>
      <c r="I65" s="106">
        <f>IF(C31="","",C31)</f>
        <v/>
      </c>
      <c r="J65" s="296" t="n"/>
      <c r="K65" s="81">
        <f>E31</f>
        <v/>
      </c>
      <c r="L65" s="110">
        <f>IF(O31="","",O31)</f>
        <v/>
      </c>
      <c r="M65" s="296" t="n"/>
      <c r="U65" s="6" t="n"/>
      <c r="XFC65" s="227" t="n"/>
      <c r="XFD65" s="227" t="n"/>
    </row>
    <row r="66" hidden="1">
      <c r="B66" s="5" t="n"/>
      <c r="H66" s="68" t="n">
        <v>11</v>
      </c>
      <c r="I66" s="303">
        <f>IF(C32="","",C32)</f>
        <v/>
      </c>
      <c r="J66" s="299" t="n"/>
      <c r="K66" s="69">
        <f>E32</f>
        <v/>
      </c>
      <c r="L66" s="231">
        <f>IF(O32="","",O32)</f>
        <v/>
      </c>
      <c r="M66" s="297" t="n"/>
      <c r="U66" s="6" t="n"/>
      <c r="XFC66" s="227" t="n"/>
      <c r="XFD66" s="227" t="n"/>
    </row>
    <row r="67" hidden="1">
      <c r="B67" s="5" t="n"/>
      <c r="H67" s="48" t="n">
        <v>12</v>
      </c>
      <c r="I67" s="323">
        <f>IF(C33="","",C33)</f>
        <v/>
      </c>
      <c r="J67" s="305" t="n"/>
      <c r="K67" s="45">
        <f>E33</f>
        <v/>
      </c>
      <c r="L67" s="224">
        <f>IF(O33="","",O33)</f>
        <v/>
      </c>
      <c r="M67" s="295" t="n"/>
      <c r="U67" s="6" t="n"/>
      <c r="XFC67" s="227" t="n"/>
      <c r="XFD67" s="227" t="n"/>
    </row>
    <row r="68" hidden="1">
      <c r="B68" s="5" t="n"/>
      <c r="H68" s="48" t="n">
        <v>13</v>
      </c>
      <c r="I68" s="323">
        <f>IF(C34="","",C34)</f>
        <v/>
      </c>
      <c r="J68" s="305" t="n"/>
      <c r="K68" s="45">
        <f>E34</f>
        <v/>
      </c>
      <c r="L68" s="224">
        <f>IF(O34="","",O34)</f>
        <v/>
      </c>
      <c r="M68" s="295" t="n"/>
      <c r="U68" s="6" t="n"/>
      <c r="XFC68" s="227" t="n"/>
      <c r="XFD68" s="227" t="n"/>
    </row>
    <row r="69" hidden="1">
      <c r="B69" s="5" t="n"/>
      <c r="H69" s="48" t="n">
        <v>14</v>
      </c>
      <c r="I69" s="323">
        <f>IF(C35="","",C35)</f>
        <v/>
      </c>
      <c r="J69" s="305" t="n"/>
      <c r="K69" s="45">
        <f>E35</f>
        <v/>
      </c>
      <c r="L69" s="224">
        <f>IF(O35="","",O35)</f>
        <v/>
      </c>
      <c r="M69" s="295" t="n"/>
      <c r="U69" s="6" t="n"/>
      <c r="XFC69" s="227">
        <f>K32</f>
        <v/>
      </c>
      <c r="XFD69" s="297" t="n"/>
    </row>
    <row r="70" hidden="1" ht="14.45" customHeight="1">
      <c r="B70" s="5" t="n"/>
      <c r="H70" s="48" t="n">
        <v>15</v>
      </c>
      <c r="I70" s="323">
        <f>IF(C36="","",C36)</f>
        <v/>
      </c>
      <c r="J70" s="305" t="n"/>
      <c r="K70" s="91">
        <f>E36</f>
        <v/>
      </c>
      <c r="L70" s="224">
        <f>IF(O36="","",O36)</f>
        <v/>
      </c>
      <c r="M70" s="295" t="n"/>
      <c r="U70" s="6" t="n"/>
      <c r="XFC70" s="229" t="n"/>
      <c r="XFD70" s="295" t="n"/>
    </row>
    <row r="71" hidden="1" ht="14.45" customHeight="1">
      <c r="B71" s="5" t="n"/>
      <c r="H71" s="48" t="n">
        <v>16</v>
      </c>
      <c r="I71" s="323">
        <f>IF(C37="","",C37)</f>
        <v/>
      </c>
      <c r="J71" s="305" t="n"/>
      <c r="K71" s="64">
        <f>E37</f>
        <v/>
      </c>
      <c r="L71" s="224">
        <f>IF(O37="","",O37)</f>
        <v/>
      </c>
      <c r="M71" s="295" t="n"/>
      <c r="U71" s="6" t="n"/>
      <c r="XFC71" s="229" t="n"/>
      <c r="XFD71" s="295" t="n"/>
    </row>
    <row r="72" hidden="1" ht="14.45" customHeight="1">
      <c r="B72" s="5" t="n"/>
      <c r="H72" s="48" t="n">
        <v>17</v>
      </c>
      <c r="I72" s="323">
        <f>IF(C38="","",C38)</f>
        <v/>
      </c>
      <c r="J72" s="305" t="n"/>
      <c r="K72" s="64">
        <f>E38</f>
        <v/>
      </c>
      <c r="L72" s="224">
        <f>IF(O38="","",O38)</f>
        <v/>
      </c>
      <c r="M72" s="295" t="n"/>
      <c r="U72" s="6" t="n"/>
      <c r="XFC72" s="229" t="n"/>
      <c r="XFD72" s="295" t="n"/>
    </row>
    <row r="73" hidden="1" ht="14.45" customHeight="1">
      <c r="B73" s="5" t="n"/>
      <c r="H73" s="48" t="n">
        <v>18</v>
      </c>
      <c r="I73" s="323">
        <f>IF(C39="","",C39)</f>
        <v/>
      </c>
      <c r="J73" s="305" t="n"/>
      <c r="K73" s="64">
        <f>E39</f>
        <v/>
      </c>
      <c r="L73" s="224">
        <f>IF(O39="","",O39)</f>
        <v/>
      </c>
      <c r="M73" s="295" t="n"/>
      <c r="U73" s="6" t="n"/>
      <c r="XFC73" s="229" t="n"/>
      <c r="XFD73" s="295" t="n"/>
    </row>
    <row r="74" hidden="1" ht="14.45" customHeight="1">
      <c r="B74" s="5" t="n"/>
      <c r="H74" s="48" t="n">
        <v>19</v>
      </c>
      <c r="I74" s="323">
        <f>IF(C40="","",C40)</f>
        <v/>
      </c>
      <c r="J74" s="305" t="n"/>
      <c r="K74" s="64">
        <f>E40</f>
        <v/>
      </c>
      <c r="L74" s="224">
        <f>IF(O40="","",O40)</f>
        <v/>
      </c>
      <c r="M74" s="295" t="n"/>
      <c r="U74" s="6" t="n"/>
      <c r="XFC74" s="229" t="n"/>
      <c r="XFD74" s="295" t="n"/>
    </row>
    <row r="75" hidden="1" ht="14.45" customHeight="1" thickBot="1">
      <c r="B75" s="5" t="n"/>
      <c r="H75" s="49" t="n">
        <v>20</v>
      </c>
      <c r="I75" s="324">
        <f>IF(C41="","",C41)</f>
        <v/>
      </c>
      <c r="J75" s="311" t="n"/>
      <c r="K75" s="65">
        <f>E41</f>
        <v/>
      </c>
      <c r="L75" s="225">
        <f>IF(O41="","",O41)</f>
        <v/>
      </c>
      <c r="M75" s="296" t="n"/>
      <c r="U75" s="6" t="n"/>
      <c r="XFC75" s="229" t="n"/>
      <c r="XFD75" s="295" t="n"/>
    </row>
    <row r="76" ht="15.75" customHeight="1" thickBot="1">
      <c r="B76" s="5" t="n"/>
      <c r="K76" s="60" t="inlineStr">
        <is>
          <t>KF médio</t>
        </is>
      </c>
      <c r="L76" s="325">
        <f>AVERAGE(L56:M75)</f>
        <v/>
      </c>
      <c r="M76" s="317" t="n"/>
      <c r="U76" s="6" t="n"/>
      <c r="XFC76" s="228" t="n"/>
      <c r="XFD76" s="296" t="n"/>
    </row>
    <row r="77" ht="15.75" customHeight="1" thickBot="1">
      <c r="B77" s="5" t="n"/>
      <c r="K77" s="39" t="n"/>
      <c r="L77" s="326" t="n"/>
      <c r="M77" s="326" t="n"/>
      <c r="U77" s="6" t="n"/>
      <c r="XFC77" s="36" t="n"/>
      <c r="XFD77" s="36" t="n"/>
    </row>
    <row r="78" ht="15.75" customHeight="1" thickBot="1">
      <c r="B78" s="5" t="n"/>
      <c r="H78" s="327" t="inlineStr">
        <is>
          <t>Limites de Alarme</t>
        </is>
      </c>
      <c r="I78" s="318" t="n"/>
      <c r="J78" s="318" t="n"/>
      <c r="K78" s="318" t="n"/>
      <c r="L78" s="318" t="n"/>
      <c r="M78" s="319" t="n"/>
      <c r="P78" s="63" t="n"/>
      <c r="U78" s="6" t="n"/>
      <c r="XFC78" s="36" t="n"/>
      <c r="XFD78" s="36" t="n"/>
    </row>
    <row r="79" ht="14.45" customHeight="1">
      <c r="B79" s="5" t="n"/>
      <c r="H79" s="218" t="inlineStr">
        <is>
          <t xml:space="preserve">Alarme de vazão baixa: </t>
        </is>
      </c>
      <c r="I79" s="328" t="n"/>
      <c r="J79" s="329">
        <f>IF(SMALL(I56:J75,1)=0,SMALL(I56:J75,2),SMALL(I56:J75,1))</f>
        <v/>
      </c>
      <c r="K79" s="211" t="inlineStr">
        <is>
          <t>Alarme de vazão 
alta:</t>
        </is>
      </c>
      <c r="L79" s="328" t="n"/>
      <c r="M79" s="330">
        <f>LARGE(I56:J75,1)</f>
        <v/>
      </c>
      <c r="U79" s="6" t="n"/>
      <c r="XFC79" s="36" t="n"/>
      <c r="XFD79" s="36" t="n"/>
    </row>
    <row r="80" ht="15.75" customHeight="1" thickBot="1">
      <c r="B80" s="5" t="n"/>
      <c r="H80" s="331" t="n"/>
      <c r="I80" s="297" t="n"/>
      <c r="J80" s="332" t="n"/>
      <c r="K80" s="333" t="n"/>
      <c r="L80" s="297" t="n"/>
      <c r="M80" s="334" t="n"/>
      <c r="U80" s="6" t="n"/>
    </row>
    <row r="81">
      <c r="B81" s="5" t="n"/>
      <c r="I81" s="58" t="n"/>
      <c r="J81" s="59" t="n"/>
      <c r="K81" s="59" t="n"/>
      <c r="L81" s="59" t="n"/>
      <c r="M81" s="59" t="n"/>
      <c r="U81" s="6" t="n"/>
    </row>
    <row r="82" ht="15.75" customHeight="1" thickBot="1">
      <c r="B82" s="5" t="n"/>
      <c r="L82" s="59" t="n"/>
      <c r="M82" s="59" t="n"/>
      <c r="U82" s="6" t="n"/>
    </row>
    <row r="83" ht="19.5" customHeight="1" thickBot="1">
      <c r="B83" s="5" t="n"/>
      <c r="C83" s="335" t="inlineStr">
        <is>
          <t>Observações</t>
        </is>
      </c>
      <c r="D83" s="284" t="n"/>
      <c r="E83" s="284" t="n"/>
      <c r="F83" s="284" t="n"/>
      <c r="G83" s="284" t="n"/>
      <c r="H83" s="284" t="n"/>
      <c r="I83" s="284" t="n"/>
      <c r="J83" s="284" t="n"/>
      <c r="K83" s="284" t="n"/>
      <c r="L83" s="284" t="n"/>
      <c r="M83" s="284" t="n"/>
      <c r="N83" s="284" t="n"/>
      <c r="O83" s="284" t="n"/>
      <c r="P83" s="284" t="n"/>
      <c r="Q83" s="284" t="n"/>
      <c r="R83" s="284" t="n"/>
      <c r="S83" s="284" t="n"/>
      <c r="T83" s="285" t="n"/>
      <c r="U83" s="6" t="n"/>
    </row>
    <row r="84" ht="14.45" customHeight="1">
      <c r="B84" s="5" t="n"/>
      <c r="C84" s="200" t="inlineStr">
        <is>
          <t>1 - Os resultados apresentados neste documento aplicam-se somente ao equipamento calibrado indicado. The results reported in this doccument apply only to the indicated equipment.</t>
        </is>
      </c>
      <c r="U84" s="6" t="n"/>
    </row>
    <row r="85">
      <c r="B85" s="5" t="n"/>
      <c r="U85" s="6" t="n"/>
    </row>
    <row r="86" ht="14.45" customHeight="1">
      <c r="B86" s="5" t="n"/>
      <c r="C86" s="200" t="n"/>
      <c r="U86" s="6" t="n"/>
    </row>
    <row r="87" hidden="1">
      <c r="B87" s="5" t="n"/>
      <c r="U87" s="6" t="n"/>
    </row>
    <row r="88" ht="13.5" customHeight="1">
      <c r="B88" s="5" t="n"/>
      <c r="U88" s="6" t="n"/>
    </row>
    <row r="89" hidden="1">
      <c r="B89" s="5" t="n"/>
      <c r="U89" s="6" t="n"/>
    </row>
    <row r="90" hidden="1">
      <c r="B90" s="5" t="n"/>
      <c r="U90" s="6" t="n"/>
    </row>
    <row r="91" ht="15.95" customHeight="1">
      <c r="B91" s="5" t="n"/>
      <c r="F91" s="23" t="inlineStr">
        <is>
          <t>Elaborado por:</t>
        </is>
      </c>
      <c r="G91" s="23" t="n"/>
      <c r="H91" s="23" t="n"/>
      <c r="I91" s="23" t="n"/>
      <c r="J91" s="27" t="n"/>
      <c r="K91" s="27" t="n"/>
      <c r="L91" s="28" t="n"/>
      <c r="M91" s="23" t="n"/>
      <c r="N91" s="23" t="inlineStr">
        <is>
          <t>Verificado por:</t>
        </is>
      </c>
      <c r="O91" s="23" t="n"/>
      <c r="P91" s="23" t="n"/>
      <c r="Q91" s="28" t="n"/>
      <c r="U91" s="6" t="n"/>
    </row>
    <row r="92" hidden="1" ht="15.75" customHeight="1">
      <c r="B92" s="5" t="n"/>
      <c r="F92" s="23" t="n"/>
      <c r="G92" s="23" t="n"/>
      <c r="H92" s="23" t="n"/>
      <c r="I92" s="23" t="n"/>
      <c r="J92" s="27" t="n"/>
      <c r="K92" s="27" t="n"/>
      <c r="L92" s="28" t="n"/>
      <c r="M92" s="23" t="n"/>
      <c r="N92" s="23" t="n"/>
      <c r="O92" s="23" t="n"/>
      <c r="P92" s="23" t="n"/>
      <c r="Q92" s="28" t="n"/>
      <c r="U92" s="6" t="n"/>
    </row>
    <row r="93" hidden="1" ht="15.75" customHeight="1">
      <c r="B93" s="5" t="n"/>
      <c r="F93" s="23" t="n"/>
      <c r="G93" s="23" t="n"/>
      <c r="H93" s="23" t="n"/>
      <c r="I93" s="23" t="n"/>
      <c r="J93" s="27" t="n"/>
      <c r="K93" s="27" t="n"/>
      <c r="L93" s="28" t="n"/>
      <c r="M93" s="23" t="n"/>
      <c r="N93" s="23" t="n"/>
      <c r="O93" s="23" t="n"/>
      <c r="P93" s="23" t="n"/>
      <c r="Q93" s="28" t="n"/>
      <c r="U93" s="6" t="n"/>
    </row>
    <row r="94" ht="15.95" customHeight="1">
      <c r="B94" s="5" t="n"/>
      <c r="F94" s="23" t="n"/>
      <c r="G94" s="23" t="n"/>
      <c r="H94" s="23" t="n"/>
      <c r="I94" s="23" t="n"/>
      <c r="J94" s="27" t="n"/>
      <c r="K94" s="27" t="n"/>
      <c r="L94" s="28" t="n"/>
      <c r="M94" s="23" t="n"/>
      <c r="N94" s="23" t="n"/>
      <c r="O94" s="23" t="n"/>
      <c r="P94" s="23" t="n"/>
      <c r="Q94" s="28" t="n"/>
      <c r="U94" s="6" t="n"/>
    </row>
    <row r="95" hidden="1" ht="15.75" customHeight="1">
      <c r="B95" s="5" t="n"/>
      <c r="F95" s="29" t="n"/>
      <c r="G95" s="29" t="n"/>
      <c r="H95" s="29" t="n"/>
      <c r="I95" s="29" t="n"/>
      <c r="J95" s="23" t="n"/>
      <c r="K95" s="23" t="n"/>
      <c r="L95" s="23" t="n"/>
      <c r="M95" s="23" t="n"/>
      <c r="N95" s="29" t="n"/>
      <c r="O95" s="29" t="n"/>
      <c r="P95" s="29" t="n"/>
      <c r="Q95" s="29" t="n"/>
      <c r="U95" s="6" t="n"/>
    </row>
    <row r="96" ht="15.95" customHeight="1">
      <c r="B96" s="5" t="n"/>
      <c r="F96" s="336" t="inlineStr">
        <is>
          <t>Carolina Bastos</t>
        </is>
      </c>
      <c r="G96" s="337" t="n"/>
      <c r="H96" s="337" t="n"/>
      <c r="I96" s="337" t="n"/>
      <c r="J96" s="338" t="n"/>
      <c r="K96" s="338" t="n"/>
      <c r="L96" s="23" t="n"/>
      <c r="M96" s="23" t="n"/>
      <c r="N96" s="201" t="inlineStr">
        <is>
          <t>Vanessa Vieira</t>
        </is>
      </c>
      <c r="O96" s="337" t="n"/>
      <c r="P96" s="337" t="n"/>
      <c r="Q96" s="337" t="n"/>
      <c r="U96" s="6" t="n"/>
    </row>
    <row r="97" hidden="1" ht="15.75" customHeight="1">
      <c r="B97" s="5" t="n"/>
      <c r="F97" s="339" t="n"/>
      <c r="G97" s="278" t="n"/>
      <c r="H97" s="278" t="n"/>
      <c r="I97" s="278" t="n"/>
      <c r="J97" s="338" t="n"/>
      <c r="K97" s="338" t="n"/>
      <c r="L97" s="23" t="n"/>
      <c r="M97" s="23" t="n"/>
      <c r="N97" s="339" t="n"/>
      <c r="O97" s="339" t="n"/>
      <c r="P97" s="339" t="n"/>
      <c r="Q97" s="339" t="n"/>
      <c r="U97" s="6" t="n"/>
    </row>
    <row r="98" ht="15.95" customHeight="1">
      <c r="B98" s="5" t="n"/>
      <c r="F98" s="339" t="n">
        <v>46141</v>
      </c>
      <c r="G98" s="278" t="n"/>
      <c r="H98" s="278" t="n"/>
      <c r="I98" s="278" t="n"/>
      <c r="J98" s="23" t="n"/>
      <c r="K98" s="23" t="n"/>
      <c r="L98" s="23" t="n"/>
      <c r="M98" s="23" t="n"/>
      <c r="N98" s="339">
        <f>F98</f>
        <v/>
      </c>
      <c r="O98" s="278" t="n"/>
      <c r="P98" s="278" t="n"/>
      <c r="Q98" s="278" t="n"/>
      <c r="U98" s="6" t="n"/>
    </row>
    <row r="99">
      <c r="B99" s="5" t="n"/>
      <c r="U99" s="6" t="n"/>
    </row>
    <row r="100" ht="15.75" customHeight="1" thickBot="1">
      <c r="B100" s="7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9" t="n"/>
    </row>
    <row r="101" ht="15.75" customHeight="1" thickBot="1">
      <c r="Q101" s="8" t="n"/>
    </row>
  </sheetData>
  <mergeCells count="288">
    <mergeCell ref="G21:H21"/>
    <mergeCell ref="XFC70:XFD70"/>
    <mergeCell ref="Q21:R21"/>
    <mergeCell ref="S21:T21"/>
    <mergeCell ref="K24:L24"/>
    <mergeCell ref="K33:L33"/>
    <mergeCell ref="L66:M66"/>
    <mergeCell ref="XFC72:XFD72"/>
    <mergeCell ref="E23:F23"/>
    <mergeCell ref="G23:H23"/>
    <mergeCell ref="L75:M75"/>
    <mergeCell ref="I26:J26"/>
    <mergeCell ref="M9:T9"/>
    <mergeCell ref="K26:L26"/>
    <mergeCell ref="C43:T43"/>
    <mergeCell ref="K35:L35"/>
    <mergeCell ref="XFC56:XFD56"/>
    <mergeCell ref="M35:N35"/>
    <mergeCell ref="L68:M68"/>
    <mergeCell ref="I25:J25"/>
    <mergeCell ref="C41:D41"/>
    <mergeCell ref="M11:T11"/>
    <mergeCell ref="O32:P32"/>
    <mergeCell ref="O26:P26"/>
    <mergeCell ref="I71:J71"/>
    <mergeCell ref="I66:J66"/>
    <mergeCell ref="O41:P41"/>
    <mergeCell ref="C17:T17"/>
    <mergeCell ref="Q26:R26"/>
    <mergeCell ref="O35:P35"/>
    <mergeCell ref="Q35:R35"/>
    <mergeCell ref="I58:J58"/>
    <mergeCell ref="E34:F34"/>
    <mergeCell ref="G34:H34"/>
    <mergeCell ref="M25:N25"/>
    <mergeCell ref="O25:P25"/>
    <mergeCell ref="I50:K50"/>
    <mergeCell ref="M15:T15"/>
    <mergeCell ref="C27:D27"/>
    <mergeCell ref="O40:P40"/>
    <mergeCell ref="C36:D36"/>
    <mergeCell ref="E27:F27"/>
    <mergeCell ref="M36:N36"/>
    <mergeCell ref="E36:F36"/>
    <mergeCell ref="C84:T85"/>
    <mergeCell ref="M33:N33"/>
    <mergeCell ref="D13:G13"/>
    <mergeCell ref="O27:P27"/>
    <mergeCell ref="Q27:R27"/>
    <mergeCell ref="C83:T83"/>
    <mergeCell ref="Q30:R30"/>
    <mergeCell ref="S35:T35"/>
    <mergeCell ref="S30:T30"/>
    <mergeCell ref="L72:M72"/>
    <mergeCell ref="XFC74:XFD74"/>
    <mergeCell ref="F97:I97"/>
    <mergeCell ref="M14:T14"/>
    <mergeCell ref="K28:L28"/>
    <mergeCell ref="C28:D28"/>
    <mergeCell ref="K37:L37"/>
    <mergeCell ref="L65:M65"/>
    <mergeCell ref="E22:F22"/>
    <mergeCell ref="G22:H22"/>
    <mergeCell ref="I69:J69"/>
    <mergeCell ref="K13:L13"/>
    <mergeCell ref="M45:P45"/>
    <mergeCell ref="S22:T22"/>
    <mergeCell ref="I30:J30"/>
    <mergeCell ref="K30:L30"/>
    <mergeCell ref="F96:I96"/>
    <mergeCell ref="C30:D30"/>
    <mergeCell ref="D19:E19"/>
    <mergeCell ref="M79:M80"/>
    <mergeCell ref="Q37:R37"/>
    <mergeCell ref="K15:L15"/>
    <mergeCell ref="L57:M57"/>
    <mergeCell ref="I61:J61"/>
    <mergeCell ref="F98:I98"/>
    <mergeCell ref="I70:J70"/>
    <mergeCell ref="Q39:R39"/>
    <mergeCell ref="K21:L21"/>
    <mergeCell ref="S39:T39"/>
    <mergeCell ref="I57:J57"/>
    <mergeCell ref="E38:F38"/>
    <mergeCell ref="O29:P29"/>
    <mergeCell ref="G38:H38"/>
    <mergeCell ref="I32:J32"/>
    <mergeCell ref="Q29:R29"/>
    <mergeCell ref="I72:J72"/>
    <mergeCell ref="K32:L32"/>
    <mergeCell ref="Q38:R38"/>
    <mergeCell ref="I41:J41"/>
    <mergeCell ref="Q23:R23"/>
    <mergeCell ref="K41:L41"/>
    <mergeCell ref="S23:T23"/>
    <mergeCell ref="S38:T38"/>
    <mergeCell ref="C40:D40"/>
    <mergeCell ref="XFC71:XFD71"/>
    <mergeCell ref="E40:F40"/>
    <mergeCell ref="O31:P31"/>
    <mergeCell ref="I56:J56"/>
    <mergeCell ref="Q31:R31"/>
    <mergeCell ref="Q40:R40"/>
    <mergeCell ref="M21:N21"/>
    <mergeCell ref="S40:T40"/>
    <mergeCell ref="G24:H24"/>
    <mergeCell ref="O21:P21"/>
    <mergeCell ref="XFC73:XFD73"/>
    <mergeCell ref="I24:J24"/>
    <mergeCell ref="G33:H33"/>
    <mergeCell ref="I33:J33"/>
    <mergeCell ref="S24:T24"/>
    <mergeCell ref="K27:L27"/>
    <mergeCell ref="M27:N27"/>
    <mergeCell ref="S33:T33"/>
    <mergeCell ref="D11:G11"/>
    <mergeCell ref="M41:N41"/>
    <mergeCell ref="O37:P37"/>
    <mergeCell ref="L69:M69"/>
    <mergeCell ref="E26:F26"/>
    <mergeCell ref="G26:H26"/>
    <mergeCell ref="G35:H35"/>
    <mergeCell ref="M24:N24"/>
    <mergeCell ref="I35:J35"/>
    <mergeCell ref="L59:M59"/>
    <mergeCell ref="E25:F25"/>
    <mergeCell ref="G25:H25"/>
    <mergeCell ref="K10:L10"/>
    <mergeCell ref="I59:J59"/>
    <mergeCell ref="C52:T53"/>
    <mergeCell ref="I60:J60"/>
    <mergeCell ref="L61:M61"/>
    <mergeCell ref="I74:J74"/>
    <mergeCell ref="L70:M70"/>
    <mergeCell ref="C34:D34"/>
    <mergeCell ref="K25:L25"/>
    <mergeCell ref="D9:G9"/>
    <mergeCell ref="M34:N34"/>
    <mergeCell ref="O34:P34"/>
    <mergeCell ref="O28:P28"/>
    <mergeCell ref="K9:L9"/>
    <mergeCell ref="Q28:R28"/>
    <mergeCell ref="D15:G15"/>
    <mergeCell ref="M39:N39"/>
    <mergeCell ref="E39:F39"/>
    <mergeCell ref="O39:P39"/>
    <mergeCell ref="XFC75:XFD75"/>
    <mergeCell ref="G39:H39"/>
    <mergeCell ref="O36:P36"/>
    <mergeCell ref="O30:P30"/>
    <mergeCell ref="K29:L29"/>
    <mergeCell ref="K11:L11"/>
    <mergeCell ref="C29:D29"/>
    <mergeCell ref="E29:F29"/>
    <mergeCell ref="G37:H37"/>
    <mergeCell ref="I37:J37"/>
    <mergeCell ref="M10:T10"/>
    <mergeCell ref="C22:D22"/>
    <mergeCell ref="S28:T28"/>
    <mergeCell ref="D10:G10"/>
    <mergeCell ref="C31:D31"/>
    <mergeCell ref="S37:T37"/>
    <mergeCell ref="K31:L31"/>
    <mergeCell ref="M31:N31"/>
    <mergeCell ref="M40:N40"/>
    <mergeCell ref="L74:M74"/>
    <mergeCell ref="E31:F31"/>
    <mergeCell ref="I45:L45"/>
    <mergeCell ref="O22:P22"/>
    <mergeCell ref="I21:J21"/>
    <mergeCell ref="M13:T13"/>
    <mergeCell ref="C45:F45"/>
    <mergeCell ref="C7:T7"/>
    <mergeCell ref="C21:D21"/>
    <mergeCell ref="L58:M58"/>
    <mergeCell ref="I62:J62"/>
    <mergeCell ref="N96:Q96"/>
    <mergeCell ref="M37:N37"/>
    <mergeCell ref="L76:M76"/>
    <mergeCell ref="B2:U5"/>
    <mergeCell ref="I23:J23"/>
    <mergeCell ref="K23:L23"/>
    <mergeCell ref="C23:D23"/>
    <mergeCell ref="K79:L80"/>
    <mergeCell ref="L60:M60"/>
    <mergeCell ref="M26:N26"/>
    <mergeCell ref="I64:J64"/>
    <mergeCell ref="N98:Q98"/>
    <mergeCell ref="I73:J73"/>
    <mergeCell ref="C32:D32"/>
    <mergeCell ref="C38:D38"/>
    <mergeCell ref="E32:F32"/>
    <mergeCell ref="M29:N29"/>
    <mergeCell ref="G32:H32"/>
    <mergeCell ref="E41:F41"/>
    <mergeCell ref="M23:N23"/>
    <mergeCell ref="O23:P23"/>
    <mergeCell ref="O38:P38"/>
    <mergeCell ref="I63:J63"/>
    <mergeCell ref="G41:H41"/>
    <mergeCell ref="Q32:R32"/>
    <mergeCell ref="M38:N38"/>
    <mergeCell ref="S32:T32"/>
    <mergeCell ref="Q41:R41"/>
    <mergeCell ref="S26:T26"/>
    <mergeCell ref="S41:T41"/>
    <mergeCell ref="I65:J65"/>
    <mergeCell ref="H79:I80"/>
    <mergeCell ref="I34:J34"/>
    <mergeCell ref="K34:L34"/>
    <mergeCell ref="Q25:R25"/>
    <mergeCell ref="C24:D24"/>
    <mergeCell ref="S25:T25"/>
    <mergeCell ref="L67:M67"/>
    <mergeCell ref="C33:D33"/>
    <mergeCell ref="D12:G12"/>
    <mergeCell ref="E24:F24"/>
    <mergeCell ref="E33:F33"/>
    <mergeCell ref="O24:P24"/>
    <mergeCell ref="G27:H27"/>
    <mergeCell ref="XFC76:XFD76"/>
    <mergeCell ref="Q24:R24"/>
    <mergeCell ref="G36:H36"/>
    <mergeCell ref="C86:T87"/>
    <mergeCell ref="O33:P33"/>
    <mergeCell ref="I36:J36"/>
    <mergeCell ref="Q33:R33"/>
    <mergeCell ref="I27:J27"/>
    <mergeCell ref="S27:T27"/>
    <mergeCell ref="XFC57:XFD57"/>
    <mergeCell ref="C26:D26"/>
    <mergeCell ref="K36:L36"/>
    <mergeCell ref="D14:G14"/>
    <mergeCell ref="C35:D35"/>
    <mergeCell ref="E35:F35"/>
    <mergeCell ref="J79:J80"/>
    <mergeCell ref="C25:D25"/>
    <mergeCell ref="L62:M62"/>
    <mergeCell ref="L71:M71"/>
    <mergeCell ref="E28:F28"/>
    <mergeCell ref="I75:J75"/>
    <mergeCell ref="G28:H28"/>
    <mergeCell ref="I22:J22"/>
    <mergeCell ref="I28:J28"/>
    <mergeCell ref="K22:L22"/>
    <mergeCell ref="XFC58:XFD58"/>
    <mergeCell ref="M22:N22"/>
    <mergeCell ref="L55:M55"/>
    <mergeCell ref="L64:M64"/>
    <mergeCell ref="M30:N30"/>
    <mergeCell ref="Q34:R34"/>
    <mergeCell ref="I68:J68"/>
    <mergeCell ref="L73:M73"/>
    <mergeCell ref="S34:T34"/>
    <mergeCell ref="K12:L12"/>
    <mergeCell ref="E30:F30"/>
    <mergeCell ref="M12:T12"/>
    <mergeCell ref="I55:J55"/>
    <mergeCell ref="G30:H30"/>
    <mergeCell ref="K40:L40"/>
    <mergeCell ref="M28:N28"/>
    <mergeCell ref="I67:J67"/>
    <mergeCell ref="L63:M63"/>
    <mergeCell ref="Q22:R22"/>
    <mergeCell ref="I39:J39"/>
    <mergeCell ref="Q36:R36"/>
    <mergeCell ref="K39:L39"/>
    <mergeCell ref="K14:L14"/>
    <mergeCell ref="S36:T36"/>
    <mergeCell ref="C39:D39"/>
    <mergeCell ref="XFC69:XFD69"/>
    <mergeCell ref="H78:M78"/>
    <mergeCell ref="G29:H29"/>
    <mergeCell ref="L56:M56"/>
    <mergeCell ref="I29:J29"/>
    <mergeCell ref="I38:J38"/>
    <mergeCell ref="S29:T29"/>
    <mergeCell ref="K38:L38"/>
    <mergeCell ref="XFC59:XFD59"/>
    <mergeCell ref="M32:N32"/>
    <mergeCell ref="C37:D37"/>
    <mergeCell ref="E37:F37"/>
    <mergeCell ref="G31:H31"/>
    <mergeCell ref="I31:J31"/>
    <mergeCell ref="G40:H40"/>
    <mergeCell ref="I40:J40"/>
    <mergeCell ref="S31:T31"/>
    <mergeCell ref="E21:F21"/>
  </mergeCells>
  <conditionalFormatting sqref="S22:T41">
    <cfRule type="cellIs" priority="1" operator="equal" dxfId="2">
      <formula>"aprovado"</formula>
    </cfRule>
    <cfRule type="cellIs" priority="2" operator="equal" dxfId="0">
      <formula>"aprovado"</formula>
    </cfRule>
    <cfRule type="cellIs" priority="3" operator="equal" dxfId="0">
      <formula>"reprovado"</formula>
    </cfRule>
  </conditionalFormatting>
  <dataValidations disablePrompts="1" count="1">
    <dataValidation sqref="D12:G12" showDropDown="0" showInputMessage="1" showErrorMessage="1" allowBlank="1" type="list">
      <formula1>"FISCAL,APROPRIAÇÃO,TRANSFERÊNCIA DE CUSTÓDIA,OPERACIONAL"</formula1>
    </dataValidation>
  </dataValidations>
  <printOptions horizontalCentered="1"/>
  <pageMargins left="0.3937007874015748" right="0.3937007874015748" top="0.3937007874015748" bottom="0.3937007874015748" header="0.3149606299212598" footer="0.3149606299212598"/>
  <pageSetup orientation="landscape" paperSize="9" scale="4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XFD127"/>
  <sheetViews>
    <sheetView view="pageBreakPreview" topLeftCell="A2" zoomScaleNormal="100" zoomScaleSheetLayoutView="100" workbookViewId="0">
      <selection activeCell="G50" sqref="G50"/>
    </sheetView>
  </sheetViews>
  <sheetFormatPr baseColWidth="8" defaultColWidth="0" defaultRowHeight="15"/>
  <cols>
    <col width="2.5703125" customWidth="1" style="2" min="1" max="1"/>
    <col width="7.5" customWidth="1" style="2" min="2" max="2"/>
    <col width="20.5703125" customWidth="1" style="2" min="3" max="3"/>
    <col width="10.5703125" bestFit="1" customWidth="1" style="2" min="4" max="4"/>
    <col width="9.42578125" bestFit="1" customWidth="1" style="2" min="5" max="5"/>
    <col width="7.140625" customWidth="1" style="2" min="6" max="6"/>
    <col width="15.85546875" customWidth="1" style="2" min="7" max="7"/>
    <col width="10.28515625" customWidth="1" style="2" min="8" max="8"/>
    <col width="11" customWidth="1" style="2" min="9" max="9"/>
    <col width="14.85546875" customWidth="1" style="2" min="10" max="10"/>
    <col width="15" bestFit="1" customWidth="1" style="2" min="11" max="11"/>
    <col width="5.85546875" customWidth="1" style="2" min="12" max="12"/>
    <col width="12.7109375" customWidth="1" style="2" min="13" max="13"/>
    <col width="8.5703125" customWidth="1" style="2" min="14" max="19"/>
    <col width="6.140625" customWidth="1" style="2" min="20" max="20"/>
    <col width="7.5" customWidth="1" style="2" min="21" max="21"/>
    <col width="4" bestFit="1" customWidth="1" style="2" min="22" max="22"/>
    <col width="1.5703125" customWidth="1" style="2" min="23" max="23"/>
    <col hidden="1" style="2" min="24" max="26"/>
    <col hidden="1" width="8.7109375" customWidth="1" style="2" min="27" max="16384"/>
  </cols>
  <sheetData>
    <row r="1" hidden="1" ht="15.75" customHeight="1" thickBot="1"/>
    <row r="2" ht="15.95" customHeight="1">
      <c r="B2" s="274" t="inlineStr">
        <is>
          <t>Avaliação de Falha Presumida de Medição</t>
        </is>
      </c>
      <c r="C2" s="275" t="n"/>
      <c r="D2" s="275" t="n"/>
      <c r="E2" s="275" t="n"/>
      <c r="F2" s="275" t="n"/>
      <c r="G2" s="275" t="n"/>
      <c r="H2" s="275" t="n"/>
      <c r="I2" s="275" t="n"/>
      <c r="J2" s="275" t="n"/>
      <c r="K2" s="275" t="n"/>
      <c r="L2" s="275" t="n"/>
      <c r="M2" s="275" t="n"/>
      <c r="N2" s="275" t="n"/>
      <c r="O2" s="275" t="n"/>
      <c r="P2" s="275" t="n"/>
      <c r="Q2" s="275" t="n"/>
      <c r="R2" s="275" t="n"/>
      <c r="S2" s="275" t="n"/>
      <c r="T2" s="275" t="n"/>
      <c r="U2" s="276" t="n"/>
      <c r="V2" s="155" t="n"/>
      <c r="W2" s="1" t="n"/>
    </row>
    <row r="3" ht="15.95" customHeight="1">
      <c r="B3" s="277" t="n"/>
      <c r="C3" s="278" t="n"/>
      <c r="D3" s="278" t="n"/>
      <c r="E3" s="278" t="n"/>
      <c r="F3" s="278" t="n"/>
      <c r="G3" s="278" t="n"/>
      <c r="H3" s="278" t="n"/>
      <c r="I3" s="278" t="n"/>
      <c r="J3" s="278" t="n"/>
      <c r="K3" s="278" t="n"/>
      <c r="L3" s="278" t="n"/>
      <c r="M3" s="278" t="n"/>
      <c r="N3" s="278" t="n"/>
      <c r="O3" s="278" t="n"/>
      <c r="P3" s="278" t="n"/>
      <c r="Q3" s="278" t="n"/>
      <c r="R3" s="278" t="n"/>
      <c r="S3" s="278" t="n"/>
      <c r="T3" s="278" t="n"/>
      <c r="U3" s="279" t="n"/>
      <c r="V3" s="155" t="n"/>
      <c r="W3" s="1" t="n"/>
    </row>
    <row r="4" ht="26.1" customHeight="1">
      <c r="B4" s="277" t="n"/>
      <c r="C4" s="278" t="n"/>
      <c r="D4" s="278" t="n"/>
      <c r="E4" s="278" t="n"/>
      <c r="F4" s="278" t="n"/>
      <c r="G4" s="278" t="n"/>
      <c r="H4" s="278" t="n"/>
      <c r="I4" s="278" t="n"/>
      <c r="J4" s="278" t="n"/>
      <c r="K4" s="278" t="n"/>
      <c r="L4" s="278" t="n"/>
      <c r="M4" s="278" t="n"/>
      <c r="N4" s="278" t="n"/>
      <c r="O4" s="278" t="n"/>
      <c r="P4" s="278" t="n"/>
      <c r="Q4" s="278" t="n"/>
      <c r="R4" s="278" t="n"/>
      <c r="S4" s="278" t="n"/>
      <c r="T4" s="278" t="n"/>
      <c r="U4" s="279" t="n"/>
      <c r="V4" s="155" t="n"/>
      <c r="W4" s="1" t="n"/>
    </row>
    <row r="5" ht="15.95" customHeight="1" thickBot="1">
      <c r="B5" s="280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2" t="n"/>
      <c r="V5" s="155" t="n"/>
      <c r="W5" s="1" t="n"/>
    </row>
    <row r="6" hidden="1" ht="15.75" customHeight="1">
      <c r="B6" s="10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1" t="n"/>
      <c r="V6" s="1" t="n"/>
      <c r="W6" s="1" t="n"/>
    </row>
    <row r="7" hidden="1" ht="19.5" customHeight="1" thickBot="1">
      <c r="B7" s="10" t="n"/>
      <c r="C7" s="283" t="inlineStr">
        <is>
          <t>Informações Gerais</t>
        </is>
      </c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5" t="n"/>
      <c r="U7" s="12" t="n"/>
      <c r="V7" s="3" t="n"/>
      <c r="W7" s="1" t="n"/>
    </row>
    <row r="8" ht="15.95" customHeight="1">
      <c r="B8" s="1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12" t="n"/>
      <c r="V8" s="3" t="n"/>
      <c r="W8" s="1" t="n"/>
    </row>
    <row r="9" ht="15.75" customHeight="1">
      <c r="B9" s="10" t="n"/>
      <c r="C9" s="142" t="inlineStr">
        <is>
          <t>Cliente:</t>
        </is>
      </c>
      <c r="D9" s="117">
        <f>Linearização!D9</f>
        <v/>
      </c>
      <c r="E9" s="278" t="n"/>
      <c r="F9" s="278" t="n"/>
      <c r="G9" s="278" t="n"/>
      <c r="H9" s="52" t="n"/>
      <c r="I9" s="52" t="n"/>
      <c r="J9" s="52" t="n"/>
      <c r="K9" s="142" t="inlineStr">
        <is>
          <t>Nº Certificado:</t>
        </is>
      </c>
      <c r="L9" s="278" t="n"/>
      <c r="M9" s="138">
        <f>Linearização!M9</f>
        <v/>
      </c>
      <c r="N9" s="278" t="n"/>
      <c r="O9" s="278" t="n"/>
      <c r="P9" s="278" t="n"/>
      <c r="Q9" s="278" t="n"/>
      <c r="R9" s="278" t="n"/>
      <c r="S9" s="278" t="n"/>
      <c r="T9" s="278" t="n"/>
      <c r="U9" s="13" t="n"/>
      <c r="V9" s="33" t="n"/>
      <c r="W9" s="1" t="n"/>
    </row>
    <row r="10" ht="15.75" customHeight="1">
      <c r="B10" s="14" t="n"/>
      <c r="C10" s="21" t="inlineStr">
        <is>
          <t>Instalação:</t>
        </is>
      </c>
      <c r="D10" s="117">
        <f>Linearização!D10</f>
        <v/>
      </c>
      <c r="E10" s="278" t="n"/>
      <c r="F10" s="278" t="n"/>
      <c r="G10" s="278" t="n"/>
      <c r="H10" s="52" t="n"/>
      <c r="I10" s="52" t="n"/>
      <c r="J10" s="52" t="n"/>
      <c r="K10" s="140" t="inlineStr">
        <is>
          <t>Modelo:</t>
        </is>
      </c>
      <c r="L10" s="278" t="n"/>
      <c r="M10" s="138">
        <f>Linearização!M10</f>
        <v/>
      </c>
      <c r="N10" s="278" t="n"/>
      <c r="O10" s="278" t="n"/>
      <c r="P10" s="278" t="n"/>
      <c r="Q10" s="278" t="n"/>
      <c r="R10" s="278" t="n"/>
      <c r="S10" s="278" t="n"/>
      <c r="T10" s="278" t="n"/>
      <c r="U10" s="15" t="n"/>
      <c r="V10" s="4" t="n"/>
      <c r="W10" s="4" t="n"/>
    </row>
    <row r="11" ht="15.75" customHeight="1">
      <c r="B11" s="14" t="n"/>
      <c r="C11" s="22" t="inlineStr">
        <is>
          <t>TAG do Sistema:</t>
        </is>
      </c>
      <c r="D11" s="117">
        <f>Linearização!D11</f>
        <v/>
      </c>
      <c r="E11" s="278" t="n"/>
      <c r="F11" s="278" t="n"/>
      <c r="G11" s="278" t="n"/>
      <c r="H11" s="52" t="n"/>
      <c r="I11" s="52" t="n"/>
      <c r="J11" s="52" t="n"/>
      <c r="K11" s="140" t="inlineStr">
        <is>
          <t>Fabricante:</t>
        </is>
      </c>
      <c r="L11" s="278" t="n"/>
      <c r="M11" s="138">
        <f>Linearização!M11</f>
        <v/>
      </c>
      <c r="N11" s="278" t="n"/>
      <c r="O11" s="278" t="n"/>
      <c r="P11" s="278" t="n"/>
      <c r="Q11" s="278" t="n"/>
      <c r="R11" s="278" t="n"/>
      <c r="S11" s="278" t="n"/>
      <c r="T11" s="278" t="n"/>
      <c r="U11" s="15" t="n"/>
      <c r="V11" s="4" t="n"/>
      <c r="W11" s="4" t="n"/>
    </row>
    <row r="12" ht="15.75" customHeight="1">
      <c r="B12" s="14" t="n"/>
      <c r="C12" s="22" t="inlineStr">
        <is>
          <t>Aplicação:</t>
        </is>
      </c>
      <c r="D12" s="117">
        <f>Linearização!D12</f>
        <v/>
      </c>
      <c r="E12" s="278" t="n"/>
      <c r="F12" s="278" t="n"/>
      <c r="G12" s="278" t="n"/>
      <c r="H12" s="52" t="n"/>
      <c r="I12" s="52" t="n"/>
      <c r="J12" s="52" t="n"/>
      <c r="K12" s="140" t="inlineStr">
        <is>
          <t>TAG:</t>
        </is>
      </c>
      <c r="L12" s="278" t="n"/>
      <c r="M12" s="138">
        <f>Linearização!M12</f>
        <v/>
      </c>
      <c r="N12" s="278" t="n"/>
      <c r="O12" s="278" t="n"/>
      <c r="P12" s="278" t="n"/>
      <c r="Q12" s="278" t="n"/>
      <c r="R12" s="278" t="n"/>
      <c r="S12" s="278" t="n"/>
      <c r="T12" s="278" t="n"/>
      <c r="U12" s="15" t="n"/>
      <c r="V12" s="4" t="n"/>
      <c r="W12" s="4" t="n"/>
    </row>
    <row r="13" ht="15.75" customHeight="1">
      <c r="B13" s="14" t="n"/>
      <c r="C13" s="22" t="inlineStr">
        <is>
          <t>Sistema:</t>
        </is>
      </c>
      <c r="D13" s="117">
        <f>Linearização!D13</f>
        <v/>
      </c>
      <c r="E13" s="278" t="n"/>
      <c r="F13" s="278" t="n"/>
      <c r="G13" s="278" t="n"/>
      <c r="H13" s="52" t="n"/>
      <c r="I13" s="52" t="n"/>
      <c r="J13" s="52" t="n"/>
      <c r="K13" s="141" t="inlineStr">
        <is>
          <t>Nº Série:</t>
        </is>
      </c>
      <c r="L13" s="278" t="n"/>
      <c r="M13" s="138">
        <f>Linearização!M13</f>
        <v/>
      </c>
      <c r="N13" s="278" t="n"/>
      <c r="O13" s="278" t="n"/>
      <c r="P13" s="278" t="n"/>
      <c r="Q13" s="278" t="n"/>
      <c r="R13" s="278" t="n"/>
      <c r="S13" s="278" t="n"/>
      <c r="T13" s="278" t="n"/>
      <c r="U13" s="15" t="n"/>
      <c r="V13" s="4" t="n"/>
      <c r="W13" s="4" t="n"/>
    </row>
    <row r="14" ht="15.75" customHeight="1">
      <c r="B14" s="10" t="n"/>
      <c r="C14" s="22" t="inlineStr">
        <is>
          <t>Data da Calibração:</t>
        </is>
      </c>
      <c r="D14" s="116">
        <f>Linearização!D14</f>
        <v/>
      </c>
      <c r="E14" s="278" t="n"/>
      <c r="F14" s="278" t="n"/>
      <c r="G14" s="278" t="n"/>
      <c r="H14" s="52" t="n"/>
      <c r="I14" s="52" t="n"/>
      <c r="J14" s="52" t="n"/>
      <c r="K14" s="140" t="inlineStr">
        <is>
          <t>Diâmetro:</t>
        </is>
      </c>
      <c r="L14" s="278" t="n"/>
      <c r="M14" s="138">
        <f>Linearização!M14</f>
        <v/>
      </c>
      <c r="N14" s="278" t="n"/>
      <c r="O14" s="278" t="n"/>
      <c r="P14" s="278" t="n"/>
      <c r="Q14" s="278" t="n"/>
      <c r="R14" s="278" t="n"/>
      <c r="S14" s="278" t="n"/>
      <c r="T14" s="278" t="n"/>
      <c r="U14" s="11" t="n"/>
      <c r="V14" s="1" t="n"/>
      <c r="W14" s="1" t="n"/>
    </row>
    <row r="15" ht="15.75" customHeight="1">
      <c r="B15" s="5" t="n"/>
      <c r="C15" s="22" t="inlineStr">
        <is>
          <t>Tipo do Medidor:</t>
        </is>
      </c>
      <c r="D15" s="117">
        <f>Linearização!D15</f>
        <v/>
      </c>
      <c r="E15" s="278" t="n"/>
      <c r="F15" s="278" t="n"/>
      <c r="G15" s="278" t="n"/>
      <c r="H15" s="52" t="n"/>
      <c r="I15" s="52" t="n"/>
      <c r="J15" s="52" t="n"/>
      <c r="K15" s="140" t="inlineStr">
        <is>
          <t>Faixa Calibrada:</t>
        </is>
      </c>
      <c r="L15" s="278" t="n"/>
      <c r="M15" s="138">
        <f>Linearização!M15</f>
        <v/>
      </c>
      <c r="N15" s="278" t="n"/>
      <c r="O15" s="278" t="n"/>
      <c r="P15" s="278" t="n"/>
      <c r="Q15" s="278" t="n"/>
      <c r="R15" s="278" t="n"/>
      <c r="S15" s="278" t="n"/>
      <c r="T15" s="278" t="n"/>
      <c r="U15" s="6" t="n"/>
    </row>
    <row r="16" ht="15.75" customHeight="1" thickBot="1">
      <c r="B16" s="5" t="n"/>
      <c r="U16" s="6" t="n"/>
    </row>
    <row r="17" ht="19.5" customHeight="1" thickBot="1">
      <c r="B17" s="5" t="n"/>
      <c r="C17" s="287" t="inlineStr">
        <is>
          <t>Valores do Certificado de Calibração</t>
        </is>
      </c>
      <c r="D17" s="288" t="n"/>
      <c r="E17" s="288" t="n"/>
      <c r="F17" s="288" t="n"/>
      <c r="G17" s="288" t="n"/>
      <c r="H17" s="288" t="n"/>
      <c r="I17" s="288" t="n"/>
      <c r="J17" s="288" t="n"/>
      <c r="K17" s="288" t="n"/>
      <c r="L17" s="288" t="n"/>
      <c r="M17" s="288" t="n"/>
      <c r="N17" s="288" t="n"/>
      <c r="O17" s="288" t="n"/>
      <c r="P17" s="288" t="n"/>
      <c r="Q17" s="288" t="n"/>
      <c r="R17" s="288" t="n"/>
      <c r="S17" s="288" t="n"/>
      <c r="T17" s="289" t="n"/>
      <c r="U17" s="16" t="n"/>
      <c r="V17" s="34" t="n"/>
    </row>
    <row r="18">
      <c r="B18" s="5" t="n"/>
      <c r="U18" s="6" t="n"/>
    </row>
    <row r="19">
      <c r="B19" s="5" t="n"/>
      <c r="C19" s="24" t="inlineStr">
        <is>
          <t>K-Factor do medidor:</t>
        </is>
      </c>
      <c r="D19" s="181">
        <f>Linearização!D19</f>
        <v/>
      </c>
      <c r="F19" s="24" t="inlineStr">
        <is>
          <t>pulsos/m³</t>
        </is>
      </c>
      <c r="G19" s="24" t="n"/>
      <c r="U19" s="6" t="n"/>
    </row>
    <row r="20" ht="15.75" customHeight="1" thickBot="1">
      <c r="B20" s="5" t="n"/>
      <c r="U20" s="6" t="n"/>
      <c r="V20" s="290" t="n"/>
    </row>
    <row r="21" ht="15.75" customHeight="1" thickBot="1">
      <c r="B21" s="5" t="n"/>
      <c r="C21" s="131">
        <f>Linearização!C21</f>
        <v/>
      </c>
      <c r="D21" s="291" t="n"/>
      <c r="E21" s="131">
        <f>Linearização!E21</f>
        <v/>
      </c>
      <c r="F21" s="291" t="n"/>
      <c r="G21" s="131">
        <f>Linearização!G21</f>
        <v/>
      </c>
      <c r="H21" s="291" t="n"/>
      <c r="I21" s="131">
        <f>Linearização!I21</f>
        <v/>
      </c>
      <c r="J21" s="291" t="n"/>
      <c r="K21" s="131">
        <f>Linearização!K21</f>
        <v/>
      </c>
      <c r="L21" s="291" t="n"/>
      <c r="M21" s="131">
        <f>Linearização!M21</f>
        <v/>
      </c>
      <c r="N21" s="291" t="n"/>
      <c r="O21" s="131">
        <f>Linearização!O21</f>
        <v/>
      </c>
      <c r="P21" s="291" t="n"/>
      <c r="Q21" s="131">
        <f>Linearização!Q21</f>
        <v/>
      </c>
      <c r="R21" s="291" t="n"/>
      <c r="S21" s="131">
        <f>Linearização!S21</f>
        <v/>
      </c>
      <c r="T21" s="291" t="n"/>
      <c r="U21" s="17" t="n"/>
      <c r="V21" s="35" t="n"/>
    </row>
    <row r="22">
      <c r="B22" s="5" t="n"/>
      <c r="C22" s="121">
        <f>Linearização!C22</f>
        <v/>
      </c>
      <c r="D22" s="294" t="n"/>
      <c r="E22" s="122">
        <f>Linearização!E22</f>
        <v/>
      </c>
      <c r="F22" s="294" t="n"/>
      <c r="G22" s="120">
        <f>Linearização!G22</f>
        <v/>
      </c>
      <c r="H22" s="294" t="n"/>
      <c r="I22" s="120">
        <f>Linearização!I22</f>
        <v/>
      </c>
      <c r="J22" s="294" t="n"/>
      <c r="K22" s="123">
        <f>Linearização!K22</f>
        <v/>
      </c>
      <c r="L22" s="294" t="n"/>
      <c r="M22" s="120">
        <f>Linearização!M22</f>
        <v/>
      </c>
      <c r="N22" s="294" t="n"/>
      <c r="O22" s="123">
        <f>Linearização!O22</f>
        <v/>
      </c>
      <c r="P22" s="294" t="n"/>
      <c r="Q22" s="120">
        <f>Linearização!Q22</f>
        <v/>
      </c>
      <c r="R22" s="294" t="n"/>
      <c r="S22" s="118">
        <f>Linearização!S22</f>
        <v/>
      </c>
      <c r="T22" s="294" t="n"/>
      <c r="U22" s="18" t="n"/>
      <c r="V22" s="36" t="n"/>
    </row>
    <row r="23">
      <c r="B23" s="5" t="n"/>
      <c r="C23" s="96">
        <f>Linearização!C23</f>
        <v/>
      </c>
      <c r="D23" s="295" t="n"/>
      <c r="E23" s="95">
        <f>Linearização!E23</f>
        <v/>
      </c>
      <c r="F23" s="295" t="n"/>
      <c r="G23" s="99">
        <f>Linearização!G23</f>
        <v/>
      </c>
      <c r="H23" s="295" t="n"/>
      <c r="I23" s="99">
        <f>Linearização!I23</f>
        <v/>
      </c>
      <c r="J23" s="295" t="n"/>
      <c r="K23" s="100">
        <f>Linearização!K23</f>
        <v/>
      </c>
      <c r="L23" s="295" t="n"/>
      <c r="M23" s="99">
        <f>Linearização!M23</f>
        <v/>
      </c>
      <c r="N23" s="295" t="n"/>
      <c r="O23" s="100">
        <f>Linearização!O23</f>
        <v/>
      </c>
      <c r="P23" s="295" t="n"/>
      <c r="Q23" s="99">
        <f>Linearização!Q23</f>
        <v/>
      </c>
      <c r="R23" s="295" t="n"/>
      <c r="S23" s="104">
        <f>Linearização!S23</f>
        <v/>
      </c>
      <c r="T23" s="295" t="n"/>
      <c r="U23" s="18" t="n"/>
      <c r="V23" s="36" t="n"/>
    </row>
    <row r="24">
      <c r="B24" s="5" t="n"/>
      <c r="C24" s="96">
        <f>Linearização!C24</f>
        <v/>
      </c>
      <c r="D24" s="295" t="n"/>
      <c r="E24" s="95">
        <f>Linearização!E24</f>
        <v/>
      </c>
      <c r="F24" s="295" t="n"/>
      <c r="G24" s="99">
        <f>Linearização!G24</f>
        <v/>
      </c>
      <c r="H24" s="295" t="n"/>
      <c r="I24" s="99">
        <f>Linearização!I24</f>
        <v/>
      </c>
      <c r="J24" s="295" t="n"/>
      <c r="K24" s="100">
        <f>Linearização!K24</f>
        <v/>
      </c>
      <c r="L24" s="295" t="n"/>
      <c r="M24" s="99">
        <f>Linearização!M24</f>
        <v/>
      </c>
      <c r="N24" s="295" t="n"/>
      <c r="O24" s="100">
        <f>Linearização!O24</f>
        <v/>
      </c>
      <c r="P24" s="295" t="n"/>
      <c r="Q24" s="99">
        <f>Linearização!Q24</f>
        <v/>
      </c>
      <c r="R24" s="295" t="n"/>
      <c r="S24" s="104">
        <f>Linearização!S24</f>
        <v/>
      </c>
      <c r="T24" s="295" t="n"/>
      <c r="U24" s="18" t="n"/>
      <c r="V24" s="36" t="n"/>
    </row>
    <row r="25">
      <c r="B25" s="5" t="n"/>
      <c r="C25" s="96">
        <f>Linearização!C25</f>
        <v/>
      </c>
      <c r="D25" s="295" t="n"/>
      <c r="E25" s="95">
        <f>Linearização!E25</f>
        <v/>
      </c>
      <c r="F25" s="295" t="n"/>
      <c r="G25" s="99">
        <f>Linearização!G25</f>
        <v/>
      </c>
      <c r="H25" s="295" t="n"/>
      <c r="I25" s="99">
        <f>Linearização!I25</f>
        <v/>
      </c>
      <c r="J25" s="295" t="n"/>
      <c r="K25" s="100">
        <f>Linearização!K25</f>
        <v/>
      </c>
      <c r="L25" s="295" t="n"/>
      <c r="M25" s="99">
        <f>Linearização!M25</f>
        <v/>
      </c>
      <c r="N25" s="295" t="n"/>
      <c r="O25" s="100">
        <f>Linearização!O25</f>
        <v/>
      </c>
      <c r="P25" s="295" t="n"/>
      <c r="Q25" s="99">
        <f>Linearização!Q25</f>
        <v/>
      </c>
      <c r="R25" s="295" t="n"/>
      <c r="S25" s="104">
        <f>Linearização!S25</f>
        <v/>
      </c>
      <c r="T25" s="295" t="n"/>
      <c r="U25" s="18" t="n"/>
      <c r="V25" s="36" t="n"/>
    </row>
    <row r="26">
      <c r="B26" s="5" t="n"/>
      <c r="C26" s="96">
        <f>Linearização!C26</f>
        <v/>
      </c>
      <c r="D26" s="295" t="n"/>
      <c r="E26" s="95">
        <f>Linearização!E26</f>
        <v/>
      </c>
      <c r="F26" s="295" t="n"/>
      <c r="G26" s="99">
        <f>Linearização!G26</f>
        <v/>
      </c>
      <c r="H26" s="295" t="n"/>
      <c r="I26" s="99">
        <f>Linearização!I26</f>
        <v/>
      </c>
      <c r="J26" s="295" t="n"/>
      <c r="K26" s="100">
        <f>Linearização!K26</f>
        <v/>
      </c>
      <c r="L26" s="295" t="n"/>
      <c r="M26" s="99">
        <f>Linearização!M26</f>
        <v/>
      </c>
      <c r="N26" s="295" t="n"/>
      <c r="O26" s="100">
        <f>Linearização!O26</f>
        <v/>
      </c>
      <c r="P26" s="295" t="n"/>
      <c r="Q26" s="99">
        <f>Linearização!Q26</f>
        <v/>
      </c>
      <c r="R26" s="295" t="n"/>
      <c r="S26" s="104">
        <f>Linearização!S26</f>
        <v/>
      </c>
      <c r="T26" s="295" t="n"/>
      <c r="U26" s="18" t="n"/>
      <c r="V26" s="36" t="n"/>
    </row>
    <row r="27">
      <c r="B27" s="5" t="n"/>
      <c r="C27" s="96">
        <f>Linearização!C27</f>
        <v/>
      </c>
      <c r="D27" s="295" t="n"/>
      <c r="E27" s="95">
        <f>Linearização!E27</f>
        <v/>
      </c>
      <c r="F27" s="295" t="n"/>
      <c r="G27" s="99">
        <f>Linearização!G27</f>
        <v/>
      </c>
      <c r="H27" s="295" t="n"/>
      <c r="I27" s="99">
        <f>Linearização!I27</f>
        <v/>
      </c>
      <c r="J27" s="295" t="n"/>
      <c r="K27" s="100">
        <f>Linearização!K27</f>
        <v/>
      </c>
      <c r="L27" s="295" t="n"/>
      <c r="M27" s="99">
        <f>Linearização!M27</f>
        <v/>
      </c>
      <c r="N27" s="295" t="n"/>
      <c r="O27" s="100">
        <f>Linearização!O27</f>
        <v/>
      </c>
      <c r="P27" s="295" t="n"/>
      <c r="Q27" s="99">
        <f>Linearização!Q27</f>
        <v/>
      </c>
      <c r="R27" s="295" t="n"/>
      <c r="S27" s="104">
        <f>Linearização!S27</f>
        <v/>
      </c>
      <c r="T27" s="295" t="n"/>
      <c r="U27" s="18" t="n"/>
      <c r="V27" s="36" t="n"/>
    </row>
    <row r="28">
      <c r="B28" s="5" t="n"/>
      <c r="C28" s="96">
        <f>Linearização!C28</f>
        <v/>
      </c>
      <c r="D28" s="295" t="n"/>
      <c r="E28" s="95">
        <f>Linearização!E28</f>
        <v/>
      </c>
      <c r="F28" s="295" t="n"/>
      <c r="G28" s="99">
        <f>Linearização!G28</f>
        <v/>
      </c>
      <c r="H28" s="295" t="n"/>
      <c r="I28" s="99">
        <f>Linearização!I28</f>
        <v/>
      </c>
      <c r="J28" s="295" t="n"/>
      <c r="K28" s="100">
        <f>Linearização!K28</f>
        <v/>
      </c>
      <c r="L28" s="295" t="n"/>
      <c r="M28" s="99">
        <f>Linearização!M28</f>
        <v/>
      </c>
      <c r="N28" s="295" t="n"/>
      <c r="O28" s="100">
        <f>Linearização!O28</f>
        <v/>
      </c>
      <c r="P28" s="295" t="n"/>
      <c r="Q28" s="99">
        <f>Linearização!Q28</f>
        <v/>
      </c>
      <c r="R28" s="295" t="n"/>
      <c r="S28" s="104">
        <f>Linearização!S28</f>
        <v/>
      </c>
      <c r="T28" s="295" t="n"/>
      <c r="U28" s="18" t="n"/>
      <c r="V28" s="36" t="n"/>
    </row>
    <row r="29">
      <c r="B29" s="5" t="n"/>
      <c r="C29" s="96">
        <f>Linearização!C29</f>
        <v/>
      </c>
      <c r="D29" s="295" t="n"/>
      <c r="E29" s="95">
        <f>Linearização!E29</f>
        <v/>
      </c>
      <c r="F29" s="295" t="n"/>
      <c r="G29" s="99">
        <f>Linearização!G29</f>
        <v/>
      </c>
      <c r="H29" s="295" t="n"/>
      <c r="I29" s="99">
        <f>Linearização!I29</f>
        <v/>
      </c>
      <c r="J29" s="295" t="n"/>
      <c r="K29" s="100">
        <f>Linearização!K29</f>
        <v/>
      </c>
      <c r="L29" s="295" t="n"/>
      <c r="M29" s="99">
        <f>Linearização!M29</f>
        <v/>
      </c>
      <c r="N29" s="295" t="n"/>
      <c r="O29" s="100">
        <f>Linearização!O29</f>
        <v/>
      </c>
      <c r="P29" s="295" t="n"/>
      <c r="Q29" s="99">
        <f>Linearização!Q29</f>
        <v/>
      </c>
      <c r="R29" s="295" t="n"/>
      <c r="S29" s="104">
        <f>Linearização!S29</f>
        <v/>
      </c>
      <c r="T29" s="295" t="n"/>
      <c r="U29" s="18" t="n"/>
      <c r="V29" s="36" t="n"/>
    </row>
    <row r="30">
      <c r="B30" s="5" t="n"/>
      <c r="C30" s="96">
        <f>Linearização!C30</f>
        <v/>
      </c>
      <c r="D30" s="295" t="n"/>
      <c r="E30" s="95">
        <f>Linearização!E30</f>
        <v/>
      </c>
      <c r="F30" s="295" t="n"/>
      <c r="G30" s="99">
        <f>Linearização!G30</f>
        <v/>
      </c>
      <c r="H30" s="295" t="n"/>
      <c r="I30" s="99">
        <f>Linearização!I30</f>
        <v/>
      </c>
      <c r="J30" s="295" t="n"/>
      <c r="K30" s="100">
        <f>Linearização!K30</f>
        <v/>
      </c>
      <c r="L30" s="295" t="n"/>
      <c r="M30" s="99">
        <f>Linearização!M30</f>
        <v/>
      </c>
      <c r="N30" s="295" t="n"/>
      <c r="O30" s="100">
        <f>Linearização!O30</f>
        <v/>
      </c>
      <c r="P30" s="295" t="n"/>
      <c r="Q30" s="99">
        <f>Linearização!Q30</f>
        <v/>
      </c>
      <c r="R30" s="295" t="n"/>
      <c r="S30" s="104">
        <f>Linearização!S30</f>
        <v/>
      </c>
      <c r="T30" s="295" t="n"/>
      <c r="U30" s="18" t="n"/>
      <c r="V30" s="36" t="n"/>
    </row>
    <row r="31" ht="15.75" customHeight="1" thickBot="1">
      <c r="B31" s="5" t="n"/>
      <c r="C31" s="199">
        <f>Linearização!C31</f>
        <v/>
      </c>
      <c r="D31" s="296" t="n"/>
      <c r="E31" s="106">
        <f>Linearização!E31</f>
        <v/>
      </c>
      <c r="F31" s="296" t="n"/>
      <c r="G31" s="109">
        <f>Linearização!G31</f>
        <v/>
      </c>
      <c r="H31" s="296" t="n"/>
      <c r="I31" s="109">
        <f>Linearização!I31</f>
        <v/>
      </c>
      <c r="J31" s="296" t="n"/>
      <c r="K31" s="110">
        <f>Linearização!K31</f>
        <v/>
      </c>
      <c r="L31" s="296" t="n"/>
      <c r="M31" s="109">
        <f>Linearização!M31</f>
        <v/>
      </c>
      <c r="N31" s="296" t="n"/>
      <c r="O31" s="110">
        <f>Linearização!O31</f>
        <v/>
      </c>
      <c r="P31" s="296" t="n"/>
      <c r="Q31" s="109">
        <f>Linearização!Q31</f>
        <v/>
      </c>
      <c r="R31" s="296" t="n"/>
      <c r="S31" s="114">
        <f>Linearização!S31</f>
        <v/>
      </c>
      <c r="T31" s="296" t="n"/>
      <c r="U31" s="18" t="n"/>
      <c r="V31" s="36" t="n"/>
    </row>
    <row r="32" hidden="1">
      <c r="B32" s="5" t="n"/>
      <c r="C32" s="177">
        <f>Linearização!C32</f>
        <v/>
      </c>
      <c r="D32" s="297" t="n"/>
      <c r="E32" s="241">
        <f>Linearização!E32</f>
        <v/>
      </c>
      <c r="F32" s="297" t="n"/>
      <c r="G32" s="301">
        <f>Linearização!G32</f>
        <v/>
      </c>
      <c r="H32" s="297" t="n"/>
      <c r="I32" s="301">
        <f>Linearização!I32</f>
        <v/>
      </c>
      <c r="J32" s="297" t="n"/>
      <c r="K32" s="231">
        <f>Linearização!K32</f>
        <v/>
      </c>
      <c r="L32" s="297" t="n"/>
      <c r="M32" s="177">
        <f>Linearização!M32</f>
        <v/>
      </c>
      <c r="N32" s="297" t="n"/>
      <c r="O32" s="177">
        <f>Linearização!O32</f>
        <v/>
      </c>
      <c r="P32" s="297" t="n"/>
      <c r="Q32" s="177">
        <f>Linearização!Q32</f>
        <v/>
      </c>
      <c r="R32" s="297" t="n"/>
      <c r="S32" s="340">
        <f>Linearização!S32</f>
        <v/>
      </c>
      <c r="T32" s="299" t="n"/>
      <c r="U32" s="18" t="n"/>
      <c r="V32" s="36" t="n"/>
    </row>
    <row r="33" hidden="1">
      <c r="B33" s="5" t="n"/>
      <c r="C33" s="177">
        <f>Linearização!C33</f>
        <v/>
      </c>
      <c r="D33" s="297" t="n"/>
      <c r="E33" s="241">
        <f>Linearização!E33</f>
        <v/>
      </c>
      <c r="F33" s="297" t="n"/>
      <c r="G33" s="301">
        <f>Linearização!G33</f>
        <v/>
      </c>
      <c r="H33" s="297" t="n"/>
      <c r="I33" s="301">
        <f>Linearização!I33</f>
        <v/>
      </c>
      <c r="J33" s="297" t="n"/>
      <c r="K33" s="231">
        <f>Linearização!K33</f>
        <v/>
      </c>
      <c r="L33" s="297" t="n"/>
      <c r="M33" s="177">
        <f>Linearização!M33</f>
        <v/>
      </c>
      <c r="N33" s="297" t="n"/>
      <c r="O33" s="177">
        <f>Linearização!O33</f>
        <v/>
      </c>
      <c r="P33" s="297" t="n"/>
      <c r="Q33" s="177">
        <f>Linearização!Q33</f>
        <v/>
      </c>
      <c r="R33" s="297" t="n"/>
      <c r="S33" s="341">
        <f>Linearização!S33</f>
        <v/>
      </c>
      <c r="T33" s="305" t="n"/>
      <c r="U33" s="18" t="n"/>
      <c r="V33" s="36" t="n"/>
    </row>
    <row r="34" hidden="1">
      <c r="B34" s="5" t="n"/>
      <c r="C34" s="177">
        <f>Linearização!C34</f>
        <v/>
      </c>
      <c r="D34" s="297" t="n"/>
      <c r="E34" s="241">
        <f>Linearização!E34</f>
        <v/>
      </c>
      <c r="F34" s="297" t="n"/>
      <c r="G34" s="301">
        <f>Linearização!G34</f>
        <v/>
      </c>
      <c r="H34" s="297" t="n"/>
      <c r="I34" s="301">
        <f>Linearização!I34</f>
        <v/>
      </c>
      <c r="J34" s="297" t="n"/>
      <c r="K34" s="231">
        <f>Linearização!K34</f>
        <v/>
      </c>
      <c r="L34" s="297" t="n"/>
      <c r="M34" s="177">
        <f>Linearização!M34</f>
        <v/>
      </c>
      <c r="N34" s="297" t="n"/>
      <c r="O34" s="177">
        <f>Linearização!O34</f>
        <v/>
      </c>
      <c r="P34" s="297" t="n"/>
      <c r="Q34" s="177">
        <f>Linearização!Q34</f>
        <v/>
      </c>
      <c r="R34" s="297" t="n"/>
      <c r="S34" s="341">
        <f>Linearização!S34</f>
        <v/>
      </c>
      <c r="T34" s="305" t="n"/>
      <c r="U34" s="18" t="n"/>
      <c r="V34" s="36" t="n"/>
    </row>
    <row r="35" hidden="1">
      <c r="B35" s="5" t="n"/>
      <c r="C35" s="177">
        <f>Linearização!C35</f>
        <v/>
      </c>
      <c r="D35" s="297" t="n"/>
      <c r="E35" s="241">
        <f>Linearização!E35</f>
        <v/>
      </c>
      <c r="F35" s="297" t="n"/>
      <c r="G35" s="301">
        <f>Linearização!G35</f>
        <v/>
      </c>
      <c r="H35" s="297" t="n"/>
      <c r="I35" s="301">
        <f>Linearização!I35</f>
        <v/>
      </c>
      <c r="J35" s="297" t="n"/>
      <c r="K35" s="231">
        <f>Linearização!K35</f>
        <v/>
      </c>
      <c r="L35" s="297" t="n"/>
      <c r="M35" s="177">
        <f>Linearização!M35</f>
        <v/>
      </c>
      <c r="N35" s="297" t="n"/>
      <c r="O35" s="177">
        <f>Linearização!O35</f>
        <v/>
      </c>
      <c r="P35" s="297" t="n"/>
      <c r="Q35" s="177">
        <f>Linearização!Q35</f>
        <v/>
      </c>
      <c r="R35" s="297" t="n"/>
      <c r="S35" s="341">
        <f>Linearização!S35</f>
        <v/>
      </c>
      <c r="T35" s="305" t="n"/>
      <c r="U35" s="18" t="n"/>
      <c r="V35" s="36" t="n"/>
    </row>
    <row r="36" hidden="1">
      <c r="B36" s="5" t="n"/>
      <c r="C36" s="177">
        <f>Linearização!C36</f>
        <v/>
      </c>
      <c r="D36" s="297" t="n"/>
      <c r="E36" s="241">
        <f>Linearização!E36</f>
        <v/>
      </c>
      <c r="F36" s="297" t="n"/>
      <c r="G36" s="301">
        <f>Linearização!G36</f>
        <v/>
      </c>
      <c r="H36" s="297" t="n"/>
      <c r="I36" s="301">
        <f>Linearização!I36</f>
        <v/>
      </c>
      <c r="J36" s="297" t="n"/>
      <c r="K36" s="231">
        <f>Linearização!K36</f>
        <v/>
      </c>
      <c r="L36" s="297" t="n"/>
      <c r="M36" s="177">
        <f>Linearização!M36</f>
        <v/>
      </c>
      <c r="N36" s="297" t="n"/>
      <c r="O36" s="177">
        <f>Linearização!O36</f>
        <v/>
      </c>
      <c r="P36" s="297" t="n"/>
      <c r="Q36" s="177">
        <f>Linearização!Q36</f>
        <v/>
      </c>
      <c r="R36" s="297" t="n"/>
      <c r="S36" s="341">
        <f>Linearização!S36</f>
        <v/>
      </c>
      <c r="T36" s="305" t="n"/>
      <c r="U36" s="18" t="n"/>
      <c r="V36" s="36" t="n"/>
    </row>
    <row r="37" hidden="1">
      <c r="B37" s="5" t="n"/>
      <c r="C37" s="177">
        <f>Linearização!C37</f>
        <v/>
      </c>
      <c r="D37" s="297" t="n"/>
      <c r="E37" s="241">
        <f>Linearização!E37</f>
        <v/>
      </c>
      <c r="F37" s="297" t="n"/>
      <c r="G37" s="301">
        <f>Linearização!G37</f>
        <v/>
      </c>
      <c r="H37" s="297" t="n"/>
      <c r="I37" s="301">
        <f>Linearização!I37</f>
        <v/>
      </c>
      <c r="J37" s="297" t="n"/>
      <c r="K37" s="231">
        <f>Linearização!K37</f>
        <v/>
      </c>
      <c r="L37" s="297" t="n"/>
      <c r="M37" s="177">
        <f>Linearização!M37</f>
        <v/>
      </c>
      <c r="N37" s="297" t="n"/>
      <c r="O37" s="177">
        <f>Linearização!O37</f>
        <v/>
      </c>
      <c r="P37" s="297" t="n"/>
      <c r="Q37" s="177">
        <f>Linearização!Q37</f>
        <v/>
      </c>
      <c r="R37" s="297" t="n"/>
      <c r="S37" s="341">
        <f>Linearização!S37</f>
        <v/>
      </c>
      <c r="T37" s="305" t="n"/>
      <c r="U37" s="18" t="n"/>
      <c r="V37" s="36" t="n"/>
    </row>
    <row r="38" hidden="1">
      <c r="B38" s="5" t="n"/>
      <c r="C38" s="177">
        <f>Linearização!C38</f>
        <v/>
      </c>
      <c r="D38" s="297" t="n"/>
      <c r="E38" s="241">
        <f>Linearização!E38</f>
        <v/>
      </c>
      <c r="F38" s="297" t="n"/>
      <c r="G38" s="301">
        <f>Linearização!G38</f>
        <v/>
      </c>
      <c r="H38" s="297" t="n"/>
      <c r="I38" s="301">
        <f>Linearização!I38</f>
        <v/>
      </c>
      <c r="J38" s="297" t="n"/>
      <c r="K38" s="231">
        <f>Linearização!K38</f>
        <v/>
      </c>
      <c r="L38" s="297" t="n"/>
      <c r="M38" s="177">
        <f>Linearização!M38</f>
        <v/>
      </c>
      <c r="N38" s="297" t="n"/>
      <c r="O38" s="177">
        <f>Linearização!O38</f>
        <v/>
      </c>
      <c r="P38" s="297" t="n"/>
      <c r="Q38" s="177">
        <f>Linearização!Q38</f>
        <v/>
      </c>
      <c r="R38" s="297" t="n"/>
      <c r="S38" s="341">
        <f>Linearização!S38</f>
        <v/>
      </c>
      <c r="T38" s="305" t="n"/>
      <c r="U38" s="18" t="n"/>
      <c r="V38" s="36" t="n"/>
    </row>
    <row r="39" hidden="1">
      <c r="B39" s="5" t="n"/>
      <c r="C39" s="177">
        <f>Linearização!C39</f>
        <v/>
      </c>
      <c r="D39" s="297" t="n"/>
      <c r="E39" s="241">
        <f>Linearização!E39</f>
        <v/>
      </c>
      <c r="F39" s="297" t="n"/>
      <c r="G39" s="301">
        <f>Linearização!G39</f>
        <v/>
      </c>
      <c r="H39" s="297" t="n"/>
      <c r="I39" s="301">
        <f>Linearização!I39</f>
        <v/>
      </c>
      <c r="J39" s="297" t="n"/>
      <c r="K39" s="231">
        <f>Linearização!K39</f>
        <v/>
      </c>
      <c r="L39" s="297" t="n"/>
      <c r="M39" s="177">
        <f>Linearização!M39</f>
        <v/>
      </c>
      <c r="N39" s="297" t="n"/>
      <c r="O39" s="177">
        <f>Linearização!O39</f>
        <v/>
      </c>
      <c r="P39" s="297" t="n"/>
      <c r="Q39" s="177">
        <f>Linearização!Q39</f>
        <v/>
      </c>
      <c r="R39" s="297" t="n"/>
      <c r="S39" s="341">
        <f>Linearização!S39</f>
        <v/>
      </c>
      <c r="T39" s="305" t="n"/>
      <c r="U39" s="18" t="n"/>
      <c r="V39" s="36" t="n"/>
    </row>
    <row r="40" hidden="1">
      <c r="B40" s="5" t="n"/>
      <c r="C40" s="177">
        <f>Linearização!C40</f>
        <v/>
      </c>
      <c r="D40" s="297" t="n"/>
      <c r="E40" s="241">
        <f>Linearização!E40</f>
        <v/>
      </c>
      <c r="F40" s="297" t="n"/>
      <c r="G40" s="301">
        <f>Linearização!G40</f>
        <v/>
      </c>
      <c r="H40" s="297" t="n"/>
      <c r="I40" s="301">
        <f>Linearização!I40</f>
        <v/>
      </c>
      <c r="J40" s="297" t="n"/>
      <c r="K40" s="231">
        <f>Linearização!K40</f>
        <v/>
      </c>
      <c r="L40" s="297" t="n"/>
      <c r="M40" s="177">
        <f>Linearização!M40</f>
        <v/>
      </c>
      <c r="N40" s="297" t="n"/>
      <c r="O40" s="177">
        <f>Linearização!O40</f>
        <v/>
      </c>
      <c r="P40" s="297" t="n"/>
      <c r="Q40" s="177">
        <f>Linearização!Q40</f>
        <v/>
      </c>
      <c r="R40" s="297" t="n"/>
      <c r="S40" s="341">
        <f>Linearização!S40</f>
        <v/>
      </c>
      <c r="T40" s="305" t="n"/>
      <c r="U40" s="18" t="n"/>
      <c r="V40" s="36" t="n"/>
    </row>
    <row r="41" hidden="1" ht="15.75" customHeight="1" thickBot="1">
      <c r="B41" s="5" t="n"/>
      <c r="C41" s="268">
        <f>Linearização!C41</f>
        <v/>
      </c>
      <c r="D41" s="315" t="n"/>
      <c r="E41" s="266">
        <f>Linearização!E41</f>
        <v/>
      </c>
      <c r="F41" s="315" t="n"/>
      <c r="G41" s="342">
        <f>Linearização!G41</f>
        <v/>
      </c>
      <c r="H41" s="315" t="n"/>
      <c r="I41" s="342">
        <f>Linearização!I41</f>
        <v/>
      </c>
      <c r="J41" s="315" t="n"/>
      <c r="K41" s="271">
        <f>Linearização!K41</f>
        <v/>
      </c>
      <c r="L41" s="315" t="n"/>
      <c r="M41" s="268">
        <f>Linearização!M41</f>
        <v/>
      </c>
      <c r="N41" s="315" t="n"/>
      <c r="O41" s="268">
        <f>Linearização!O41</f>
        <v/>
      </c>
      <c r="P41" s="315" t="n"/>
      <c r="Q41" s="268">
        <f>Linearização!Q41</f>
        <v/>
      </c>
      <c r="R41" s="315" t="n"/>
      <c r="S41" s="343">
        <f>Linearização!S41</f>
        <v/>
      </c>
      <c r="T41" s="311" t="n"/>
      <c r="U41" s="18" t="n"/>
      <c r="V41" s="36" t="n"/>
    </row>
    <row r="42" ht="15.75" customHeight="1" thickBot="1">
      <c r="B42" s="5" t="n"/>
      <c r="U42" s="6" t="n"/>
    </row>
    <row r="43" ht="19.5" customHeight="1" thickBot="1">
      <c r="B43" s="5" t="n"/>
      <c r="C43" s="287" t="inlineStr">
        <is>
          <t>Fórmulas</t>
        </is>
      </c>
      <c r="D43" s="288" t="n"/>
      <c r="E43" s="288" t="n"/>
      <c r="F43" s="288" t="n"/>
      <c r="G43" s="288" t="n"/>
      <c r="H43" s="288" t="n"/>
      <c r="I43" s="288" t="n"/>
      <c r="J43" s="288" t="n"/>
      <c r="K43" s="288" t="n"/>
      <c r="L43" s="288" t="n"/>
      <c r="M43" s="288" t="n"/>
      <c r="N43" s="288" t="n"/>
      <c r="O43" s="288" t="n"/>
      <c r="P43" s="288" t="n"/>
      <c r="Q43" s="288" t="n"/>
      <c r="R43" s="288" t="n"/>
      <c r="S43" s="288" t="n"/>
      <c r="T43" s="289" t="n"/>
      <c r="U43" s="6" t="n"/>
    </row>
    <row r="44">
      <c r="B44" s="5" t="n"/>
      <c r="U44" s="6" t="n"/>
    </row>
    <row r="45">
      <c r="B45" s="5" t="n"/>
      <c r="C45" s="160" t="inlineStr">
        <is>
          <t>F (Hz) = (K-Factor do medidor*Vazão) / 3600</t>
        </is>
      </c>
      <c r="G45" s="160" t="n"/>
      <c r="H45" s="160" t="n"/>
      <c r="I45" s="160" t="inlineStr">
        <is>
          <t>MF = Volume de Referência / Volume do Medidor</t>
        </is>
      </c>
      <c r="M45" s="160" t="inlineStr">
        <is>
          <t>KFc = K-Factor do medidor / MF</t>
        </is>
      </c>
      <c r="U45" s="6" t="n"/>
    </row>
    <row r="46">
      <c r="B46" s="5" t="n"/>
      <c r="U46" s="6" t="n"/>
    </row>
    <row r="47">
      <c r="B47" s="5" t="n"/>
      <c r="C47" s="2" t="inlineStr">
        <is>
          <t>F = Frequência em Hz</t>
        </is>
      </c>
      <c r="I47" s="2" t="inlineStr">
        <is>
          <t>MF = Meter Factor</t>
        </is>
      </c>
      <c r="M47" s="2" t="inlineStr">
        <is>
          <t>KFc = K-Factor Corrigido</t>
        </is>
      </c>
      <c r="U47" s="6" t="n"/>
    </row>
    <row r="48">
      <c r="B48" s="5" t="n"/>
      <c r="C48" s="2" t="inlineStr">
        <is>
          <t>K-Factor do medidor</t>
        </is>
      </c>
      <c r="I48" s="2" t="inlineStr">
        <is>
          <t>Volume de Referência em m³</t>
        </is>
      </c>
      <c r="M48" s="2" t="inlineStr">
        <is>
          <t>K- Factor do medidor</t>
        </is>
      </c>
      <c r="U48" s="6" t="n"/>
    </row>
    <row r="49">
      <c r="B49" s="5" t="n"/>
      <c r="C49" s="2" t="inlineStr">
        <is>
          <t>Vazão em m³/h</t>
        </is>
      </c>
      <c r="I49" s="2" t="inlineStr">
        <is>
          <t>Volume do Medidor em m³</t>
        </is>
      </c>
      <c r="M49" s="2" t="inlineStr">
        <is>
          <t>MF da vazão</t>
        </is>
      </c>
      <c r="U49" s="6" t="n"/>
    </row>
    <row r="50">
      <c r="B50" s="5" t="n"/>
      <c r="C50" s="2" t="inlineStr">
        <is>
          <t>3600 referente à conversão de horas para segundos</t>
        </is>
      </c>
      <c r="I50" s="180" t="n"/>
      <c r="U50" s="6" t="n"/>
    </row>
    <row r="51">
      <c r="B51" s="5" t="n"/>
      <c r="U51" s="6" t="n"/>
    </row>
    <row r="52" hidden="1">
      <c r="B52" s="5" t="n"/>
      <c r="C52" s="287" t="inlineStr">
        <is>
          <t>Dados à Serem Configurados no Computador de Vazão</t>
        </is>
      </c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  <c r="N52" s="318" t="n"/>
      <c r="O52" s="318" t="n"/>
      <c r="P52" s="318" t="n"/>
      <c r="Q52" s="318" t="n"/>
      <c r="R52" s="318" t="n"/>
      <c r="S52" s="318" t="n"/>
      <c r="T52" s="319" t="n"/>
      <c r="U52" s="6" t="n"/>
    </row>
    <row r="53" hidden="1" ht="15.75" customHeight="1" thickBot="1">
      <c r="B53" s="5" t="n"/>
      <c r="C53" s="320" t="n"/>
      <c r="D53" s="321" t="n"/>
      <c r="E53" s="321" t="n"/>
      <c r="F53" s="321" t="n"/>
      <c r="G53" s="321" t="n"/>
      <c r="H53" s="321" t="n"/>
      <c r="I53" s="321" t="n"/>
      <c r="J53" s="321" t="n"/>
      <c r="K53" s="321" t="n"/>
      <c r="L53" s="321" t="n"/>
      <c r="M53" s="321" t="n"/>
      <c r="N53" s="321" t="n"/>
      <c r="O53" s="321" t="n"/>
      <c r="P53" s="321" t="n"/>
      <c r="Q53" s="321" t="n"/>
      <c r="R53" s="321" t="n"/>
      <c r="S53" s="321" t="n"/>
      <c r="T53" s="317" t="n"/>
      <c r="U53" s="6" t="n"/>
    </row>
    <row r="54" hidden="1" ht="19.5" customHeight="1" thickBot="1">
      <c r="B54" s="5" t="n"/>
      <c r="C54" s="26" t="n"/>
      <c r="D54" s="26" t="n"/>
      <c r="E54" s="26" t="n"/>
      <c r="F54" s="26" t="n"/>
      <c r="G54" s="26" t="n"/>
      <c r="H54" s="26" t="n"/>
      <c r="I54" s="166" t="n"/>
      <c r="J54" s="166" t="n"/>
      <c r="K54" s="166" t="n"/>
      <c r="L54" s="166" t="n"/>
      <c r="M54" s="166" t="n"/>
      <c r="N54" s="26" t="n"/>
      <c r="O54" s="26" t="n"/>
      <c r="P54" s="26" t="n"/>
      <c r="Q54" s="26" t="n"/>
      <c r="R54" s="26" t="n"/>
      <c r="S54" s="26" t="n"/>
      <c r="T54" s="26" t="n"/>
      <c r="U54" s="6" t="n"/>
    </row>
    <row r="55" hidden="1" ht="15.75" customHeight="1" thickBot="1">
      <c r="B55" s="5" t="n"/>
      <c r="H55" s="43" t="inlineStr">
        <is>
          <t>N°</t>
        </is>
      </c>
      <c r="I55" s="344" t="inlineStr">
        <is>
          <t>Vazão da Calibração (m³/h)</t>
        </is>
      </c>
      <c r="J55" s="289" t="n"/>
      <c r="K55" s="246" t="inlineStr">
        <is>
          <t>Frequência (Hz)</t>
        </is>
      </c>
      <c r="L55" s="344" t="inlineStr">
        <is>
          <t>K-factor corrigido</t>
        </is>
      </c>
      <c r="M55" s="289" t="n"/>
      <c r="U55" s="6" t="n"/>
    </row>
    <row r="56" hidden="1" ht="15.75" customHeight="1" thickBot="1">
      <c r="B56" s="5" t="n"/>
      <c r="H56" s="47" t="n">
        <v>1</v>
      </c>
      <c r="I56" s="251">
        <f>C22</f>
        <v/>
      </c>
      <c r="J56" s="345" t="n"/>
      <c r="K56" s="44">
        <f>E22</f>
        <v/>
      </c>
      <c r="L56" s="346">
        <f>O22</f>
        <v/>
      </c>
      <c r="M56" s="345" t="n"/>
      <c r="U56" s="6" t="n"/>
      <c r="XFC56" s="230" t="inlineStr">
        <is>
          <t>Meter Factor</t>
        </is>
      </c>
      <c r="XFD56" s="315" t="n"/>
    </row>
    <row r="57" hidden="1">
      <c r="B57" s="5" t="n"/>
      <c r="H57" s="48" t="n">
        <v>2</v>
      </c>
      <c r="I57" s="208">
        <f>C23</f>
        <v/>
      </c>
      <c r="J57" s="305" t="n"/>
      <c r="K57" s="45">
        <f>E23</f>
        <v/>
      </c>
      <c r="L57" s="303">
        <f>O23</f>
        <v/>
      </c>
      <c r="M57" s="299" t="n"/>
      <c r="U57" s="6" t="n"/>
      <c r="XFC57" s="227">
        <f>K22</f>
        <v/>
      </c>
      <c r="XFD57" s="297" t="n"/>
    </row>
    <row r="58" hidden="1">
      <c r="B58" s="5" t="n"/>
      <c r="H58" s="48" t="n">
        <v>3</v>
      </c>
      <c r="I58" s="208">
        <f>C24</f>
        <v/>
      </c>
      <c r="J58" s="305" t="n"/>
      <c r="K58" s="45">
        <f>E24</f>
        <v/>
      </c>
      <c r="L58" s="323">
        <f>O24</f>
        <v/>
      </c>
      <c r="M58" s="305" t="n"/>
      <c r="U58" s="6" t="n"/>
      <c r="XFC58" s="227">
        <f>K23</f>
        <v/>
      </c>
      <c r="XFD58" s="297" t="n"/>
    </row>
    <row r="59" hidden="1">
      <c r="B59" s="5" t="n"/>
      <c r="H59" s="48" t="n">
        <v>4</v>
      </c>
      <c r="I59" s="208">
        <f>C25</f>
        <v/>
      </c>
      <c r="J59" s="305" t="n"/>
      <c r="K59" s="45">
        <f>E25</f>
        <v/>
      </c>
      <c r="L59" s="323">
        <f>O25</f>
        <v/>
      </c>
      <c r="M59" s="305" t="n"/>
      <c r="U59" s="6" t="n"/>
      <c r="XFC59" s="227">
        <f>K24</f>
        <v/>
      </c>
      <c r="XFD59" s="297" t="n"/>
    </row>
    <row r="60" hidden="1">
      <c r="B60" s="5" t="n"/>
      <c r="H60" s="48" t="n">
        <v>5</v>
      </c>
      <c r="I60" s="208">
        <f>C26</f>
        <v/>
      </c>
      <c r="J60" s="305" t="n"/>
      <c r="K60" s="45">
        <f>E26</f>
        <v/>
      </c>
      <c r="L60" s="323">
        <f>O26</f>
        <v/>
      </c>
      <c r="M60" s="305" t="n"/>
      <c r="U60" s="6" t="n"/>
      <c r="XFC60" s="227">
        <f>K25</f>
        <v/>
      </c>
      <c r="XFD60" s="297" t="n"/>
    </row>
    <row r="61" hidden="1">
      <c r="B61" s="5" t="n"/>
      <c r="H61" s="48" t="n">
        <v>6</v>
      </c>
      <c r="I61" s="208">
        <f>#REF!</f>
        <v/>
      </c>
      <c r="J61" s="305" t="n"/>
      <c r="K61" s="45">
        <f>#REF!</f>
        <v/>
      </c>
      <c r="L61" s="323">
        <f>#REF!</f>
        <v/>
      </c>
      <c r="M61" s="305" t="n"/>
      <c r="U61" s="6" t="n"/>
      <c r="XFC61" s="227">
        <f>K26</f>
        <v/>
      </c>
      <c r="XFD61" s="297" t="n"/>
    </row>
    <row r="62" hidden="1" ht="15.75" customHeight="1" thickBot="1">
      <c r="B62" s="5" t="n"/>
      <c r="H62" s="49" t="n">
        <v>7</v>
      </c>
      <c r="I62" s="210">
        <f>#REF!</f>
        <v/>
      </c>
      <c r="J62" s="311" t="n"/>
      <c r="K62" s="45">
        <f>#REF!</f>
        <v/>
      </c>
      <c r="L62" s="323">
        <f>#REF!</f>
        <v/>
      </c>
      <c r="M62" s="305" t="n"/>
      <c r="U62" s="6" t="n"/>
      <c r="XFC62" s="227">
        <f>#REF!</f>
        <v/>
      </c>
      <c r="XFD62" s="297" t="n"/>
    </row>
    <row r="63" hidden="1" ht="14.45" customHeight="1">
      <c r="B63" s="5" t="n"/>
      <c r="I63" s="340" t="n"/>
      <c r="J63" s="299" t="n"/>
      <c r="K63" s="46" t="n"/>
      <c r="L63" s="347" t="n"/>
      <c r="M63" s="348" t="n"/>
      <c r="U63" s="6" t="n"/>
      <c r="XFC63" s="229" t="n"/>
      <c r="XFD63" s="295" t="n"/>
    </row>
    <row r="64" hidden="1" ht="14.45" customHeight="1" thickBot="1">
      <c r="B64" s="5" t="n"/>
      <c r="I64" s="341" t="n"/>
      <c r="J64" s="305" t="n"/>
      <c r="K64" s="42" t="n"/>
      <c r="L64" s="347" t="n"/>
      <c r="M64" s="348" t="n"/>
      <c r="U64" s="6" t="n"/>
      <c r="XFC64" s="229" t="n"/>
      <c r="XFD64" s="295" t="n"/>
    </row>
    <row r="65" hidden="1" ht="14.45" customHeight="1" thickBot="1">
      <c r="B65" s="5" t="n"/>
      <c r="I65" s="340" t="n"/>
      <c r="J65" s="299" t="n"/>
      <c r="K65" s="42" t="n"/>
      <c r="L65" s="347" t="n"/>
      <c r="M65" s="348" t="n"/>
      <c r="U65" s="6" t="n"/>
      <c r="XFC65" s="229" t="n"/>
      <c r="XFD65" s="295" t="n"/>
    </row>
    <row r="66" hidden="1" ht="14.45" customHeight="1" thickBot="1">
      <c r="B66" s="5" t="n"/>
      <c r="I66" s="340" t="n"/>
      <c r="J66" s="299" t="n"/>
      <c r="K66" s="42" t="n"/>
      <c r="L66" s="347" t="n"/>
      <c r="M66" s="348" t="n"/>
      <c r="U66" s="6" t="n"/>
      <c r="XFC66" s="229" t="n"/>
      <c r="XFD66" s="295" t="n"/>
    </row>
    <row r="67" hidden="1" ht="14.45" customHeight="1" thickBot="1">
      <c r="B67" s="5" t="n"/>
      <c r="I67" s="341" t="n"/>
      <c r="J67" s="305" t="n"/>
      <c r="K67" s="42" t="n"/>
      <c r="L67" s="347" t="n"/>
      <c r="M67" s="348" t="n"/>
      <c r="U67" s="6" t="n"/>
      <c r="XFC67" s="229" t="n"/>
      <c r="XFD67" s="295" t="n"/>
    </row>
    <row r="68" hidden="1" ht="14.45" customHeight="1" thickBot="1">
      <c r="B68" s="5" t="n"/>
      <c r="I68" s="341" t="n"/>
      <c r="J68" s="305" t="n"/>
      <c r="K68" s="42" t="n"/>
      <c r="L68" s="347" t="n"/>
      <c r="M68" s="348" t="n"/>
      <c r="U68" s="6" t="n"/>
      <c r="XFC68" s="229" t="n"/>
      <c r="XFD68" s="295" t="n"/>
    </row>
    <row r="69" hidden="1" ht="14.45" customHeight="1" thickBot="1">
      <c r="B69" s="5" t="n"/>
      <c r="I69" s="341" t="n"/>
      <c r="J69" s="305" t="n"/>
      <c r="K69" s="42" t="n"/>
      <c r="L69" s="347" t="n"/>
      <c r="M69" s="348" t="n"/>
      <c r="U69" s="6" t="n"/>
      <c r="XFC69" s="229" t="n"/>
      <c r="XFD69" s="295" t="n"/>
    </row>
    <row r="70" hidden="1" ht="14.45" customHeight="1" thickBot="1">
      <c r="B70" s="5" t="n"/>
      <c r="I70" s="341" t="n"/>
      <c r="J70" s="305" t="n"/>
      <c r="K70" s="42" t="n"/>
      <c r="L70" s="347" t="n"/>
      <c r="M70" s="348" t="n"/>
      <c r="U70" s="6" t="n"/>
      <c r="XFC70" s="229" t="n"/>
      <c r="XFD70" s="295" t="n"/>
    </row>
    <row r="71" hidden="1" ht="14.45" customHeight="1" thickBot="1">
      <c r="B71" s="5" t="n"/>
      <c r="I71" s="341" t="n"/>
      <c r="J71" s="305" t="n"/>
      <c r="K71" s="42" t="n"/>
      <c r="L71" s="347" t="n"/>
      <c r="M71" s="348" t="n"/>
      <c r="U71" s="6" t="n"/>
      <c r="XFC71" s="229" t="n"/>
      <c r="XFD71" s="295" t="n"/>
    </row>
    <row r="72" hidden="1" ht="14.45" customHeight="1" thickBot="1">
      <c r="B72" s="5" t="n"/>
      <c r="I72" s="341" t="n"/>
      <c r="J72" s="305" t="n"/>
      <c r="K72" s="42" t="n"/>
      <c r="L72" s="347" t="n"/>
      <c r="M72" s="348" t="n"/>
      <c r="U72" s="6" t="n"/>
      <c r="XFC72" s="229" t="n"/>
      <c r="XFD72" s="295" t="n"/>
    </row>
    <row r="73" hidden="1" ht="14.45" customHeight="1" thickBot="1">
      <c r="B73" s="5" t="n"/>
      <c r="I73" s="341" t="n"/>
      <c r="J73" s="305" t="n"/>
      <c r="K73" s="42" t="n"/>
      <c r="L73" s="347" t="n"/>
      <c r="M73" s="348" t="n"/>
      <c r="U73" s="6" t="n"/>
      <c r="XFC73" s="229" t="n"/>
      <c r="XFD73" s="295" t="n"/>
    </row>
    <row r="74" hidden="1" ht="14.45" customHeight="1" thickBot="1">
      <c r="B74" s="5" t="n"/>
      <c r="I74" s="341" t="n"/>
      <c r="J74" s="305" t="n"/>
      <c r="K74" s="42" t="n"/>
      <c r="L74" s="347" t="n"/>
      <c r="M74" s="348" t="n"/>
      <c r="U74" s="6" t="n"/>
      <c r="XFC74" s="229" t="n"/>
      <c r="XFD74" s="295" t="n"/>
    </row>
    <row r="75" hidden="1" ht="15.75" customHeight="1" thickBot="1">
      <c r="B75" s="5" t="n"/>
      <c r="K75" s="53" t="inlineStr">
        <is>
          <t>KF médio</t>
        </is>
      </c>
      <c r="L75" s="349">
        <f>AVERAGE(L56:M62)</f>
        <v/>
      </c>
      <c r="M75" s="289" t="n"/>
      <c r="U75" s="6" t="n"/>
      <c r="XFC75" s="228" t="n"/>
      <c r="XFD75" s="296" t="n"/>
    </row>
    <row r="76" hidden="1" ht="15.75" customHeight="1" thickBot="1">
      <c r="B76" s="5" t="n"/>
      <c r="K76" s="39" t="n"/>
      <c r="L76" s="326" t="n"/>
      <c r="M76" s="326" t="n"/>
      <c r="U76" s="6" t="n"/>
      <c r="XFC76" s="36" t="n"/>
      <c r="XFD76" s="36" t="n"/>
    </row>
    <row r="77" hidden="1" ht="15.75" customHeight="1" thickBot="1">
      <c r="B77" s="5" t="n"/>
      <c r="H77" s="327" t="inlineStr">
        <is>
          <t>Limites de Alarme</t>
        </is>
      </c>
      <c r="I77" s="318" t="n"/>
      <c r="J77" s="318" t="n"/>
      <c r="K77" s="318" t="n"/>
      <c r="L77" s="318" t="n"/>
      <c r="M77" s="319" t="n"/>
      <c r="U77" s="6" t="n"/>
      <c r="XFC77" s="36" t="n"/>
      <c r="XFD77" s="36" t="n"/>
    </row>
    <row r="78" hidden="1" ht="14.45" customHeight="1">
      <c r="B78" s="5" t="n"/>
      <c r="H78" s="218" t="inlineStr">
        <is>
          <t xml:space="preserve">Alarme de vazão baixa: </t>
        </is>
      </c>
      <c r="I78" s="328" t="n"/>
      <c r="J78" s="329">
        <f>I56</f>
        <v/>
      </c>
      <c r="K78" s="211" t="inlineStr">
        <is>
          <t>Alarme de vazão 
alta:</t>
        </is>
      </c>
      <c r="L78" s="328" t="n"/>
      <c r="M78" s="330">
        <f>I62</f>
        <v/>
      </c>
      <c r="U78" s="6" t="n"/>
      <c r="XFC78" s="36" t="n"/>
      <c r="XFD78" s="36" t="n"/>
    </row>
    <row r="79" hidden="1" ht="15.75" customHeight="1" thickBot="1">
      <c r="B79" s="5" t="n"/>
      <c r="H79" s="331" t="n"/>
      <c r="I79" s="297" t="n"/>
      <c r="J79" s="332" t="n"/>
      <c r="K79" s="333" t="n"/>
      <c r="L79" s="297" t="n"/>
      <c r="M79" s="334" t="n"/>
      <c r="U79" s="6" t="n"/>
    </row>
    <row r="80" ht="15.75" customHeight="1" thickBot="1">
      <c r="B80" s="5" t="n"/>
      <c r="I80" s="50" t="n"/>
      <c r="J80" s="41" t="n"/>
      <c r="K80" s="41" t="n"/>
      <c r="L80" s="59" t="n"/>
      <c r="M80" s="59" t="n"/>
      <c r="U80" s="6" t="n"/>
    </row>
    <row r="81">
      <c r="B81" s="5" t="n"/>
      <c r="C81" s="287" t="inlineStr">
        <is>
          <t>Cálculo Falha Presumida</t>
        </is>
      </c>
      <c r="D81" s="318" t="n"/>
      <c r="E81" s="318" t="n"/>
      <c r="F81" s="318" t="n"/>
      <c r="G81" s="318" t="n"/>
      <c r="H81" s="318" t="n"/>
      <c r="I81" s="318" t="n"/>
      <c r="J81" s="318" t="n"/>
      <c r="K81" s="318" t="n"/>
      <c r="L81" s="318" t="n"/>
      <c r="M81" s="318" t="n"/>
      <c r="N81" s="318" t="n"/>
      <c r="O81" s="318" t="n"/>
      <c r="P81" s="318" t="n"/>
      <c r="Q81" s="318" t="n"/>
      <c r="R81" s="318" t="n"/>
      <c r="S81" s="318" t="n"/>
      <c r="T81" s="319" t="n"/>
      <c r="U81" s="6" t="n"/>
    </row>
    <row r="82" ht="15.75" customHeight="1" thickBot="1">
      <c r="B82" s="5" t="n"/>
      <c r="C82" s="320" t="n"/>
      <c r="D82" s="321" t="n"/>
      <c r="E82" s="321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17" t="n"/>
      <c r="U82" s="6" t="n"/>
    </row>
    <row r="83">
      <c r="B83" s="5" t="n"/>
      <c r="M83" s="59" t="n"/>
      <c r="U83" s="6" t="n"/>
    </row>
    <row r="84" ht="15.75" customHeight="1" thickBot="1">
      <c r="B84" s="5" t="n"/>
      <c r="U84" s="6" t="n"/>
    </row>
    <row r="85" ht="15" customHeight="1" thickBot="1">
      <c r="B85" s="5" t="n"/>
      <c r="G85" s="350" t="inlineStr">
        <is>
          <t>LMV 48896-25</t>
        </is>
      </c>
      <c r="H85" s="319" t="n"/>
      <c r="I85" s="350">
        <f>M9</f>
        <v/>
      </c>
      <c r="J85" s="319" t="n"/>
      <c r="U85" s="6" t="n"/>
    </row>
    <row r="86" ht="33.75" customHeight="1" thickBot="1">
      <c r="B86" s="5" t="n"/>
      <c r="E86" s="351" t="inlineStr">
        <is>
          <t>Vazão da Calibração (m³/h)</t>
        </is>
      </c>
      <c r="F86" s="293" t="n"/>
      <c r="G86" s="71" t="inlineStr">
        <is>
          <t>MF
Calibração anterior</t>
        </is>
      </c>
      <c r="H86" s="293" t="n"/>
      <c r="I86" s="71" t="inlineStr">
        <is>
          <t>MF
Calibração  atual</t>
        </is>
      </c>
      <c r="J86" s="293" t="n"/>
      <c r="K86" s="71" t="inlineStr">
        <is>
          <t>Diff MF</t>
        </is>
      </c>
      <c r="L86" s="71" t="inlineStr">
        <is>
          <t>Fator de Correção (Fci)</t>
        </is>
      </c>
      <c r="M86" s="293" t="n"/>
      <c r="N86" s="352" t="inlineStr">
        <is>
          <t>Status</t>
        </is>
      </c>
      <c r="O86" s="353" t="n"/>
      <c r="U86" s="6" t="n"/>
      <c r="W86" s="6" t="n"/>
    </row>
    <row r="87">
      <c r="B87" s="5" t="n"/>
      <c r="E87" s="265">
        <f>C22</f>
        <v/>
      </c>
      <c r="F87" s="294" t="n"/>
      <c r="G87" s="123" t="n">
        <v>1.00186</v>
      </c>
      <c r="H87" s="294" t="n"/>
      <c r="I87" s="123">
        <f>K22</f>
        <v/>
      </c>
      <c r="J87" s="294" t="n"/>
      <c r="K87" s="83">
        <f>IFERROR(ROUND((I87-G87)/G87,4),"")</f>
        <v/>
      </c>
      <c r="L87" s="258">
        <f>IFERROR(IF(OR($D$12="FISCAL",$D$12="TRANSFERÊNCIA DE CUSTÓDIA"),IF(ABS(K87)&gt;0.0025,ROUND(I87/G87,5),"-"),IF(ABS(K87)&gt;0.02,ROUND(I87/G87,5),"-")),"")</f>
        <v/>
      </c>
      <c r="M87" s="294" t="n"/>
      <c r="N87" s="120">
        <f>IFERROR(IF(OR($D$12="FISCAL",$D$12="TRANSFERÊNCIA DE CUSTÓDIA"),IF(ABS(K87)&gt;0.0025,"REPROVADO","APROVADO"),IF(ABS(K87)&gt;0.02,"REPROVADO","APROVADO")),"")</f>
        <v/>
      </c>
      <c r="O87" s="294" t="n"/>
      <c r="Q87" s="75" t="n"/>
      <c r="U87" s="6" t="n"/>
      <c r="W87" s="6" t="n"/>
    </row>
    <row r="88">
      <c r="B88" s="5" t="n"/>
      <c r="E88" s="147">
        <f>C23</f>
        <v/>
      </c>
      <c r="F88" s="295" t="n"/>
      <c r="G88" s="100" t="n">
        <v>1.00159</v>
      </c>
      <c r="H88" s="295" t="n"/>
      <c r="I88" s="100">
        <f>K23</f>
        <v/>
      </c>
      <c r="J88" s="295" t="n"/>
      <c r="K88" s="82">
        <f>IFERROR(ROUND((I88-G88)/G88,4),"")</f>
        <v/>
      </c>
      <c r="L88" s="239">
        <f>IFERROR(IF(OR($D$12="FISCAL",$D$12="TRANSFERÊNCIA DE CUSTÓDIA"),IF(ABS(K88)&gt;0.0025,ROUND(I88/G88,5),"-"),IF(ABS(K88)&gt;0.02,ROUND(I88/G88,5),"-")),"")</f>
        <v/>
      </c>
      <c r="M88" s="295" t="n"/>
      <c r="N88" s="99">
        <f>IFERROR(IF(OR($D$12="FISCAL",$D$12="TRANSFERÊNCIA DE CUSTÓDIA"),IF(ABS(K88)&gt;0.0025,"REPROVADO","APROVADO"),IF(ABS(K88)&gt;0.02,"REPROVADO","APROVADO")),"")</f>
        <v/>
      </c>
      <c r="O88" s="295" t="n"/>
      <c r="Q88" s="75" t="n"/>
      <c r="U88" s="6" t="n"/>
      <c r="W88" s="6" t="n"/>
    </row>
    <row r="89">
      <c r="B89" s="5" t="n"/>
      <c r="E89" s="147">
        <f>C24</f>
        <v/>
      </c>
      <c r="F89" s="295" t="n"/>
      <c r="G89" s="100" t="n">
        <v>1.00126</v>
      </c>
      <c r="H89" s="295" t="n"/>
      <c r="I89" s="100">
        <f>K24</f>
        <v/>
      </c>
      <c r="J89" s="295" t="n"/>
      <c r="K89" s="82">
        <f>IFERROR(ROUND((I89-G89)/G89,4),"")</f>
        <v/>
      </c>
      <c r="L89" s="239">
        <f>IFERROR(IF(OR($D$12="FISCAL",$D$12="TRANSFERÊNCIA DE CUSTÓDIA"),IF(ABS(K89)&gt;0.0025,ROUND(I89/G89,5),"-"),IF(ABS(K89)&gt;0.02,ROUND(I89/G89,5),"-")),"")</f>
        <v/>
      </c>
      <c r="M89" s="295" t="n"/>
      <c r="N89" s="99">
        <f>IFERROR(IF(OR($D$12="FISCAL",$D$12="TRANSFERÊNCIA DE CUSTÓDIA"),IF(ABS(K89)&gt;0.0025,"REPROVADO","APROVADO"),IF(ABS(K89)&gt;0.02,"REPROVADO","APROVADO")),"")</f>
        <v/>
      </c>
      <c r="O89" s="295" t="n"/>
      <c r="Q89" s="75" t="n"/>
      <c r="U89" s="6" t="n"/>
      <c r="W89" s="6" t="n"/>
    </row>
    <row r="90">
      <c r="B90" s="5" t="n"/>
      <c r="E90" s="147">
        <f>C25</f>
        <v/>
      </c>
      <c r="F90" s="295" t="n"/>
      <c r="G90" s="100" t="n">
        <v>1.00093</v>
      </c>
      <c r="H90" s="295" t="n"/>
      <c r="I90" s="100">
        <f>K25</f>
        <v/>
      </c>
      <c r="J90" s="295" t="n"/>
      <c r="K90" s="82">
        <f>IFERROR(ROUND((I90-G90)/G90,4),"")</f>
        <v/>
      </c>
      <c r="L90" s="239">
        <f>IFERROR(IF(OR($D$12="FISCAL",$D$12="TRANSFERÊNCIA DE CUSTÓDIA"),IF(ABS(K90)&gt;0.0025,ROUND(I90/G90,5),"-"),IF(ABS(K90)&gt;0.02,ROUND(I90/G90,5),"-")),"")</f>
        <v/>
      </c>
      <c r="M90" s="295" t="n"/>
      <c r="N90" s="99">
        <f>IFERROR(IF(OR($D$12="FISCAL",$D$12="TRANSFERÊNCIA DE CUSTÓDIA"),IF(ABS(K90)&gt;0.0025,"REPROVADO","APROVADO"),IF(ABS(K90)&gt;0.02,"REPROVADO","APROVADO")),"")</f>
        <v/>
      </c>
      <c r="O90" s="295" t="n"/>
      <c r="Q90" s="75" t="n"/>
      <c r="U90" s="6" t="n"/>
      <c r="W90" s="6" t="n"/>
    </row>
    <row r="91">
      <c r="B91" s="5" t="n"/>
      <c r="E91" s="147">
        <f>C26</f>
        <v/>
      </c>
      <c r="F91" s="295" t="n"/>
      <c r="G91" s="100" t="n">
        <v>1.00073</v>
      </c>
      <c r="H91" s="295" t="n"/>
      <c r="I91" s="100">
        <f>K26</f>
        <v/>
      </c>
      <c r="J91" s="295" t="n"/>
      <c r="K91" s="82">
        <f>IFERROR(ROUND((I91-G91)/G91,4),"")</f>
        <v/>
      </c>
      <c r="L91" s="239">
        <f>IFERROR(IF(OR($D$12="FISCAL",$D$12="TRANSFERÊNCIA DE CUSTÓDIA"),IF(ABS(K91)&gt;0.0025,ROUND(I91/G91,5),"-"),IF(ABS(K91)&gt;0.02,ROUND(I91/G91,5),"-")),"")</f>
        <v/>
      </c>
      <c r="M91" s="295" t="n"/>
      <c r="N91" s="99">
        <f>IFERROR(IF(OR($D$12="FISCAL",$D$12="TRANSFERÊNCIA DE CUSTÓDIA"),IF(ABS(K91)&gt;0.0025,"REPROVADO","APROVADO"),IF(ABS(K91)&gt;0.02,"REPROVADO","APROVADO")),"")</f>
        <v/>
      </c>
      <c r="O91" s="295" t="n"/>
      <c r="Q91" s="75" t="n"/>
      <c r="U91" s="6" t="n"/>
      <c r="W91" s="6" t="n"/>
    </row>
    <row r="92">
      <c r="B92" s="5" t="n"/>
      <c r="E92" s="147">
        <f>C27</f>
        <v/>
      </c>
      <c r="F92" s="295" t="n"/>
      <c r="G92" s="100" t="n">
        <v>1.0003</v>
      </c>
      <c r="H92" s="295" t="n"/>
      <c r="I92" s="100">
        <f>K27</f>
        <v/>
      </c>
      <c r="J92" s="295" t="n"/>
      <c r="K92" s="82">
        <f>IFERROR(ROUND((I92-G92)/G92,4),"")</f>
        <v/>
      </c>
      <c r="L92" s="239">
        <f>IFERROR(IF(OR($D$12="FISCAL",$D$12="TRANSFERÊNCIA DE CUSTÓDIA"),IF(ABS(K92)&gt;0.0025,ROUND(I92/G92,5),"-"),IF(ABS(K92)&gt;0.02,ROUND(I92/G92,5),"-")),"")</f>
        <v/>
      </c>
      <c r="M92" s="295" t="n"/>
      <c r="N92" s="99">
        <f>IFERROR(IF(OR($D$12="FISCAL",$D$12="TRANSFERÊNCIA DE CUSTÓDIA"),IF(ABS(K92)&gt;0.0025,"REPROVADO","APROVADO"),IF(ABS(K92)&gt;0.02,"REPROVADO","APROVADO")),"")</f>
        <v/>
      </c>
      <c r="O92" s="295" t="n"/>
      <c r="Q92" s="75" t="n"/>
      <c r="U92" s="6" t="n"/>
      <c r="W92" s="6" t="n"/>
    </row>
    <row r="93">
      <c r="B93" s="5" t="n"/>
      <c r="E93" s="147">
        <f>C28</f>
        <v/>
      </c>
      <c r="F93" s="295" t="n"/>
      <c r="G93" s="100" t="n">
        <v>0.99963</v>
      </c>
      <c r="H93" s="295" t="n"/>
      <c r="I93" s="100">
        <f>K28</f>
        <v/>
      </c>
      <c r="J93" s="295" t="n"/>
      <c r="K93" s="82">
        <f>IFERROR(ROUND((I93-G93)/G93,4),"")</f>
        <v/>
      </c>
      <c r="L93" s="239">
        <f>IFERROR(IF(OR($D$12="FISCAL",$D$12="TRANSFERÊNCIA DE CUSTÓDIA"),IF(ABS(K93)&gt;0.0025,ROUND(I93/G93,5),"-"),IF(ABS(K93)&gt;0.02,ROUND(I93/G93,5),"-")),"")</f>
        <v/>
      </c>
      <c r="M93" s="295" t="n"/>
      <c r="N93" s="99">
        <f>IFERROR(IF(OR($D$12="FISCAL",$D$12="TRANSFERÊNCIA DE CUSTÓDIA"),IF(ABS(K93)&gt;0.0025,"REPROVADO","APROVADO"),IF(ABS(K93)&gt;0.02,"REPROVADO","APROVADO")),"")</f>
        <v/>
      </c>
      <c r="O93" s="295" t="n"/>
      <c r="Q93" s="75" t="n"/>
      <c r="U93" s="6" t="n"/>
      <c r="W93" s="6" t="n"/>
    </row>
    <row r="94">
      <c r="B94" s="5" t="n"/>
      <c r="E94" s="147">
        <f>C29</f>
        <v/>
      </c>
      <c r="F94" s="295" t="n"/>
      <c r="G94" s="100" t="n">
        <v>0.99979</v>
      </c>
      <c r="H94" s="295" t="n"/>
      <c r="I94" s="100">
        <f>K29</f>
        <v/>
      </c>
      <c r="J94" s="295" t="n"/>
      <c r="K94" s="82">
        <f>IFERROR(ROUND((I94-G94)/G94,4),"")</f>
        <v/>
      </c>
      <c r="L94" s="239">
        <f>IFERROR(IF(OR($D$12="FISCAL",$D$12="TRANSFERÊNCIA DE CUSTÓDIA"),IF(ABS(K94)&gt;0.0025,ROUND(I94/G94,5),"-"),IF(ABS(K94)&gt;0.02,ROUND(I94/G94,5),"-")),"")</f>
        <v/>
      </c>
      <c r="M94" s="295" t="n"/>
      <c r="N94" s="99">
        <f>IFERROR(IF(OR($D$12="FISCAL",$D$12="TRANSFERÊNCIA DE CUSTÓDIA"),IF(ABS(K94)&gt;0.0025,"REPROVADO","APROVADO"),IF(ABS(K94)&gt;0.02,"REPROVADO","APROVADO")),"")</f>
        <v/>
      </c>
      <c r="O94" s="295" t="n"/>
      <c r="Q94" s="75" t="n"/>
      <c r="U94" s="6" t="n"/>
      <c r="W94" s="6" t="n"/>
    </row>
    <row r="95">
      <c r="B95" s="5" t="n"/>
      <c r="E95" s="147">
        <f>C30</f>
        <v/>
      </c>
      <c r="F95" s="295" t="n"/>
      <c r="G95" s="100" t="n">
        <v>0.99954</v>
      </c>
      <c r="H95" s="295" t="n"/>
      <c r="I95" s="100">
        <f>K30</f>
        <v/>
      </c>
      <c r="J95" s="295" t="n"/>
      <c r="K95" s="82">
        <f>IFERROR(ROUND((I95-G95)/G95,4),"")</f>
        <v/>
      </c>
      <c r="L95" s="239">
        <f>IFERROR(IF(OR($D$12="FISCAL",$D$12="TRANSFERÊNCIA DE CUSTÓDIA"),IF(ABS(K95)&gt;0.0025,ROUND(I95/G95,5),"-"),IF(ABS(K95)&gt;0.02,ROUND(I95/G95,5),"-")),"")</f>
        <v/>
      </c>
      <c r="M95" s="295" t="n"/>
      <c r="N95" s="99">
        <f>IFERROR(IF(OR($D$12="FISCAL",$D$12="TRANSFERÊNCIA DE CUSTÓDIA"),IF(ABS(K95)&gt;0.0025,"REPROVADO","APROVADO"),IF(ABS(K95)&gt;0.02,"REPROVADO","APROVADO")),"")</f>
        <v/>
      </c>
      <c r="O95" s="295" t="n"/>
      <c r="Q95" s="75" t="n"/>
      <c r="U95" s="6" t="n"/>
      <c r="W95" s="6" t="n"/>
    </row>
    <row r="96" ht="15.75" customHeight="1" thickBot="1">
      <c r="B96" s="5" t="n"/>
      <c r="E96" s="187">
        <f>C31</f>
        <v/>
      </c>
      <c r="F96" s="296" t="n"/>
      <c r="G96" s="110" t="n">
        <v>0.99931</v>
      </c>
      <c r="H96" s="296" t="n"/>
      <c r="I96" s="110">
        <f>K31</f>
        <v/>
      </c>
      <c r="J96" s="296" t="n"/>
      <c r="K96" s="84">
        <f>IFERROR(ROUND((I96-G96)/G96,4),"")</f>
        <v/>
      </c>
      <c r="L96" s="240">
        <f>IFERROR(IF(OR($D$12="FISCAL",$D$12="TRANSFERÊNCIA DE CUSTÓDIA"),IF(ABS(K96)&gt;0.0025,ROUND(I96/G96,5),"-"),IF(ABS(K96)&gt;0.02,ROUND(I96/G96,5),"-")),"")</f>
        <v/>
      </c>
      <c r="M96" s="296" t="n"/>
      <c r="N96" s="109">
        <f>IFERROR(IF(OR($D$12="FISCAL",$D$12="TRANSFERÊNCIA DE CUSTÓDIA"),IF(ABS(K96)&gt;0.0025,"REPROVADO","APROVADO"),IF(ABS(K96)&gt;0.02,"REPROVADO","APROVADO")),"")</f>
        <v/>
      </c>
      <c r="O96" s="296" t="n"/>
      <c r="U96" s="6" t="n"/>
      <c r="W96" s="6" t="n"/>
    </row>
    <row r="97" hidden="1">
      <c r="B97" s="5" t="n"/>
      <c r="E97" s="303">
        <f>C32</f>
        <v/>
      </c>
      <c r="F97" s="299" t="n"/>
      <c r="G97" s="302" t="n"/>
      <c r="H97" s="299" t="n"/>
      <c r="I97" s="302">
        <f>K32</f>
        <v/>
      </c>
      <c r="J97" s="299" t="n"/>
      <c r="K97" s="67">
        <f>IFERROR(ROUND((I97-G97)/G97,4),"")</f>
        <v/>
      </c>
      <c r="L97" s="354">
        <f>IFERROR(IF(OR($D$12="FISCAL",$D$12="TRANSFERÊNCIA DE CUSTÓDIA"),IF(ABS(K97)&gt;0.0025,ROUND(I97/G97,5),"-"),IF(ABS(K97)&gt;0.02,ROUND(I97/G97,5),"-")),"")</f>
        <v/>
      </c>
      <c r="M97" s="299" t="n"/>
      <c r="N97" s="303">
        <f>IFERROR(IF(OR($D$12="FISCAL",$D$12="TRANSFERÊNCIA DE CUSTÓDIA"),IF(ABS(K97)&gt;0.0025,"REPROVADO","APROVADO"),IF(ABS(K97)&gt;0.02,"REPROVADO","APROVADO")),"")</f>
        <v/>
      </c>
      <c r="O97" s="299" t="n"/>
      <c r="U97" s="6" t="n"/>
      <c r="W97" s="6" t="n"/>
    </row>
    <row r="98" hidden="1">
      <c r="B98" s="5" t="n"/>
      <c r="E98" s="323">
        <f>C33</f>
        <v/>
      </c>
      <c r="F98" s="305" t="n"/>
      <c r="G98" s="308" t="n"/>
      <c r="H98" s="305" t="n"/>
      <c r="I98" s="308">
        <f>K33</f>
        <v/>
      </c>
      <c r="J98" s="305" t="n"/>
      <c r="K98" s="54">
        <f>IFERROR(ROUND((I98-G98)/G98,4),"")</f>
        <v/>
      </c>
      <c r="L98" s="355">
        <f>IFERROR(IF(OR($D$12="FISCAL",$D$12="TRANSFERÊNCIA DE CUSTÓDIA"),IF(ABS(K98)&gt;0.0025,ROUND(I98/G98,5),"-"),IF(ABS(K98)&gt;0.02,ROUND(I98/G98,5),"-")),"")</f>
        <v/>
      </c>
      <c r="M98" s="305" t="n"/>
      <c r="N98" s="323">
        <f>IFERROR(IF(OR($D$12="FISCAL",$D$12="TRANSFERÊNCIA DE CUSTÓDIA"),IF(ABS(K98)&gt;0.0025,"REPROVADO","APROVADO"),IF(ABS(K98)&gt;0.02,"REPROVADO","APROVADO")),"")</f>
        <v/>
      </c>
      <c r="O98" s="305" t="n"/>
      <c r="U98" s="6" t="n"/>
      <c r="W98" s="6" t="n"/>
    </row>
    <row r="99" hidden="1">
      <c r="B99" s="5" t="n"/>
      <c r="E99" s="323">
        <f>C34</f>
        <v/>
      </c>
      <c r="F99" s="305" t="n"/>
      <c r="G99" s="308" t="n"/>
      <c r="H99" s="305" t="n"/>
      <c r="I99" s="308">
        <f>K34</f>
        <v/>
      </c>
      <c r="J99" s="305" t="n"/>
      <c r="K99" s="54">
        <f>IFERROR(ROUND((I99-G99)/G99,4),"")</f>
        <v/>
      </c>
      <c r="L99" s="355">
        <f>IFERROR(IF(OR($D$12="FISCAL",$D$12="TRANSFERÊNCIA DE CUSTÓDIA"),IF(ABS(K99)&gt;0.0025,ROUND(I99/G99,5),"-"),IF(ABS(K99)&gt;0.02,ROUND(I99/G99,5),"-")),"")</f>
        <v/>
      </c>
      <c r="M99" s="305" t="n"/>
      <c r="N99" s="323">
        <f>IFERROR(IF(OR($D$12="FISCAL",$D$12="TRANSFERÊNCIA DE CUSTÓDIA"),IF(ABS(K99)&gt;0.0025,"REPROVADO","APROVADO"),IF(ABS(K99)&gt;0.02,"REPROVADO","APROVADO")),"")</f>
        <v/>
      </c>
      <c r="O99" s="305" t="n"/>
      <c r="U99" s="6" t="n"/>
      <c r="W99" s="6" t="n"/>
    </row>
    <row r="100" hidden="1">
      <c r="B100" s="5" t="n"/>
      <c r="E100" s="323">
        <f>C35</f>
        <v/>
      </c>
      <c r="F100" s="305" t="n"/>
      <c r="G100" s="308" t="n"/>
      <c r="H100" s="305" t="n"/>
      <c r="I100" s="308">
        <f>K35</f>
        <v/>
      </c>
      <c r="J100" s="305" t="n"/>
      <c r="K100" s="54">
        <f>IFERROR(ROUND((I100-G100)/G100,4),"")</f>
        <v/>
      </c>
      <c r="L100" s="355">
        <f>IFERROR(IF(OR($D$12="FISCAL",$D$12="TRANSFERÊNCIA DE CUSTÓDIA"),IF(ABS(K100)&gt;0.0025,ROUND(I100/G100,5),"-"),IF(ABS(K100)&gt;0.02,ROUND(I100/G100,5),"-")),"")</f>
        <v/>
      </c>
      <c r="M100" s="305" t="n"/>
      <c r="N100" s="323">
        <f>IFERROR(IF(OR($D$12="FISCAL",$D$12="TRANSFERÊNCIA DE CUSTÓDIA"),IF(ABS(K100)&gt;0.0025,"REPROVADO","APROVADO"),IF(ABS(K100)&gt;0.02,"REPROVADO","APROVADO")),"")</f>
        <v/>
      </c>
      <c r="O100" s="305" t="n"/>
      <c r="U100" s="6" t="n"/>
      <c r="W100" s="6" t="n"/>
    </row>
    <row r="101" hidden="1">
      <c r="B101" s="5" t="n"/>
      <c r="E101" s="323">
        <f>C36</f>
        <v/>
      </c>
      <c r="F101" s="305" t="n"/>
      <c r="G101" s="308" t="n"/>
      <c r="H101" s="305" t="n"/>
      <c r="I101" s="308">
        <f>K36</f>
        <v/>
      </c>
      <c r="J101" s="305" t="n"/>
      <c r="K101" s="54">
        <f>IFERROR(ROUND((I101-G101)/G101,4),"")</f>
        <v/>
      </c>
      <c r="L101" s="355">
        <f>IFERROR(IF(OR($D$12="FISCAL",$D$12="TRANSFERÊNCIA DE CUSTÓDIA"),IF(ABS(K101)&gt;0.0025,ROUND(I101/G101,5),"-"),IF(ABS(K101)&gt;0.02,ROUND(I101/G101,5),"-")),"")</f>
        <v/>
      </c>
      <c r="M101" s="305" t="n"/>
      <c r="N101" s="323">
        <f>IFERROR(IF(OR($D$12="FISCAL",$D$12="TRANSFERÊNCIA DE CUSTÓDIA"),IF(ABS(K101)&gt;0.0025,"REPROVADO","APROVADO"),IF(ABS(K101)&gt;0.02,"REPROVADO","APROVADO")),"")</f>
        <v/>
      </c>
      <c r="O101" s="305" t="n"/>
      <c r="U101" s="6" t="n"/>
      <c r="W101" s="6" t="n"/>
    </row>
    <row r="102" hidden="1">
      <c r="B102" s="5" t="n"/>
      <c r="E102" s="323">
        <f>C37</f>
        <v/>
      </c>
      <c r="F102" s="305" t="n"/>
      <c r="G102" s="308" t="n"/>
      <c r="H102" s="305" t="n"/>
      <c r="I102" s="308">
        <f>K37</f>
        <v/>
      </c>
      <c r="J102" s="305" t="n"/>
      <c r="K102" s="54">
        <f>IFERROR(ROUND((I102-G102)/G102,4),"")</f>
        <v/>
      </c>
      <c r="L102" s="355">
        <f>IFERROR(IF(OR($D$12="FISCAL",$D$12="TRANSFERÊNCIA DE CUSTÓDIA"),IF(ABS(K102)&gt;0.0025,ROUND(I102/G102,5),"-"),IF(ABS(K102)&gt;0.02,ROUND(I102/G102,5),"-")),"")</f>
        <v/>
      </c>
      <c r="M102" s="305" t="n"/>
      <c r="N102" s="323">
        <f>IFERROR(IF(OR($D$12="FISCAL",$D$12="TRANSFERÊNCIA DE CUSTÓDIA"),IF(ABS(K102)&gt;0.0025,"REPROVADO","APROVADO"),IF(ABS(K102)&gt;0.02,"REPROVADO","APROVADO")),"")</f>
        <v/>
      </c>
      <c r="O102" s="305" t="n"/>
      <c r="U102" s="6" t="n"/>
      <c r="W102" s="6" t="n"/>
    </row>
    <row r="103" hidden="1">
      <c r="B103" s="5" t="n"/>
      <c r="E103" s="323">
        <f>C38</f>
        <v/>
      </c>
      <c r="F103" s="305" t="n"/>
      <c r="G103" s="308" t="n"/>
      <c r="H103" s="305" t="n"/>
      <c r="I103" s="308">
        <f>K38</f>
        <v/>
      </c>
      <c r="J103" s="305" t="n"/>
      <c r="K103" s="54">
        <f>IFERROR(ROUND((I103-G103)/G103,4),"")</f>
        <v/>
      </c>
      <c r="L103" s="355">
        <f>IFERROR(IF(OR($D$12="FISCAL",$D$12="TRANSFERÊNCIA DE CUSTÓDIA"),IF(ABS(K103)&gt;0.0025,ROUND(I103/G103,5),"-"),IF(ABS(K103)&gt;0.02,ROUND(I103/G103,5),"-")),"")</f>
        <v/>
      </c>
      <c r="M103" s="305" t="n"/>
      <c r="N103" s="323">
        <f>IFERROR(IF(OR($D$12="FISCAL",$D$12="TRANSFERÊNCIA DE CUSTÓDIA"),IF(ABS(K103)&gt;0.0025,"REPROVADO","APROVADO"),IF(ABS(K103)&gt;0.02,"REPROVADO","APROVADO")),"")</f>
        <v/>
      </c>
      <c r="O103" s="305" t="n"/>
      <c r="U103" s="6" t="n"/>
      <c r="W103" s="6" t="n"/>
    </row>
    <row r="104" hidden="1">
      <c r="B104" s="5" t="n"/>
      <c r="E104" s="323">
        <f>C39</f>
        <v/>
      </c>
      <c r="F104" s="305" t="n"/>
      <c r="G104" s="308" t="n"/>
      <c r="H104" s="305" t="n"/>
      <c r="I104" s="308">
        <f>K39</f>
        <v/>
      </c>
      <c r="J104" s="305" t="n"/>
      <c r="K104" s="54">
        <f>IFERROR(ROUND((I104-G104)/G104,4),"")</f>
        <v/>
      </c>
      <c r="L104" s="355">
        <f>IFERROR(IF(OR($D$12="FISCAL",$D$12="TRANSFERÊNCIA DE CUSTÓDIA"),IF(ABS(K104)&gt;0.0025,ROUND(I104/G104,5),"-"),IF(ABS(K104)&gt;0.02,ROUND(I104/G104,5),"-")),"")</f>
        <v/>
      </c>
      <c r="M104" s="305" t="n"/>
      <c r="N104" s="323">
        <f>IFERROR(IF(OR($D$12="FISCAL",$D$12="TRANSFERÊNCIA DE CUSTÓDIA"),IF(ABS(K104)&gt;0.0025,"REPROVADO","APROVADO"),IF(ABS(K104)&gt;0.02,"REPROVADO","APROVADO")),"")</f>
        <v/>
      </c>
      <c r="O104" s="305" t="n"/>
      <c r="U104" s="6" t="n"/>
      <c r="W104" s="6" t="n"/>
    </row>
    <row r="105" hidden="1">
      <c r="B105" s="5" t="n"/>
      <c r="E105" s="323">
        <f>C40</f>
        <v/>
      </c>
      <c r="F105" s="305" t="n"/>
      <c r="G105" s="308" t="n"/>
      <c r="H105" s="305" t="n"/>
      <c r="I105" s="308">
        <f>K40</f>
        <v/>
      </c>
      <c r="J105" s="305" t="n"/>
      <c r="K105" s="54">
        <f>IFERROR(ROUND((I105-G105)/G105,4),"")</f>
        <v/>
      </c>
      <c r="L105" s="355">
        <f>IFERROR(IF(OR($D$12="FISCAL",$D$12="TRANSFERÊNCIA DE CUSTÓDIA"),IF(ABS(K105)&gt;0.0025,ROUND(I105/G105,5),"-"),IF(ABS(K105)&gt;0.02,ROUND(I105/G105,5),"-")),"")</f>
        <v/>
      </c>
      <c r="M105" s="305" t="n"/>
      <c r="N105" s="323">
        <f>IFERROR(IF(OR($D$12="FISCAL",$D$12="TRANSFERÊNCIA DE CUSTÓDIA"),IF(ABS(K105)&gt;0.0025,"REPROVADO","APROVADO"),IF(ABS(K105)&gt;0.02,"REPROVADO","APROVADO")),"")</f>
        <v/>
      </c>
      <c r="O105" s="305" t="n"/>
      <c r="U105" s="6" t="n"/>
      <c r="W105" s="6" t="n"/>
    </row>
    <row r="106" hidden="1" ht="15.75" customHeight="1" thickBot="1">
      <c r="B106" s="5" t="n"/>
      <c r="E106" s="324">
        <f>C41</f>
        <v/>
      </c>
      <c r="F106" s="311" t="n"/>
      <c r="G106" s="314" t="n"/>
      <c r="H106" s="311" t="n"/>
      <c r="I106" s="314">
        <f>K41</f>
        <v/>
      </c>
      <c r="J106" s="311" t="n"/>
      <c r="K106" s="55">
        <f>IFERROR(ROUND((I106-G106)/G106,4),"")</f>
        <v/>
      </c>
      <c r="L106" s="356">
        <f>IFERROR(IF(OR($D$12="FISCAL",$D$12="TRANSFERÊNCIA DE CUSTÓDIA"),IF(ABS(K106)&gt;0.0025,ROUND(I106/G106,5),"-"),IF(ABS(K106)&gt;0.02,ROUND(I106/G106,5),"-")),"")</f>
        <v/>
      </c>
      <c r="M106" s="311" t="n"/>
      <c r="N106" s="324">
        <f>IFERROR(IF(OR($D$12="FISCAL",$D$12="TRANSFERÊNCIA DE CUSTÓDIA"),IF(ABS(K106)&gt;0.0025,"REPROVADO","APROVADO"),IF(ABS(K106)&gt;0.02,"REPROVADO","APROVADO")),"")</f>
        <v/>
      </c>
      <c r="O106" s="311" t="n"/>
      <c r="U106" s="6" t="n"/>
      <c r="W106" s="6" t="n"/>
    </row>
    <row r="107">
      <c r="B107" s="5" t="n"/>
      <c r="U107" s="6" t="n"/>
    </row>
    <row r="108">
      <c r="B108" s="5" t="n"/>
      <c r="U108" s="6" t="n"/>
    </row>
    <row r="109" ht="15.75" customHeight="1" thickBot="1">
      <c r="B109" s="5" t="n"/>
      <c r="I109" s="41" t="n"/>
      <c r="J109" s="41" t="n"/>
      <c r="K109" s="41" t="n"/>
      <c r="L109" s="41" t="n"/>
      <c r="M109" s="41" t="n"/>
      <c r="U109" s="6" t="n"/>
    </row>
    <row r="110" ht="19.5" customHeight="1" thickBot="1">
      <c r="B110" s="5" t="n"/>
      <c r="C110" s="335" t="inlineStr">
        <is>
          <t>Observações</t>
        </is>
      </c>
      <c r="D110" s="284" t="n"/>
      <c r="E110" s="284" t="n"/>
      <c r="F110" s="284" t="n"/>
      <c r="G110" s="284" t="n"/>
      <c r="H110" s="284" t="n"/>
      <c r="I110" s="284" t="n"/>
      <c r="J110" s="284" t="n"/>
      <c r="K110" s="284" t="n"/>
      <c r="L110" s="284" t="n"/>
      <c r="M110" s="284" t="n"/>
      <c r="N110" s="284" t="n"/>
      <c r="O110" s="284" t="n"/>
      <c r="P110" s="284" t="n"/>
      <c r="Q110" s="284" t="n"/>
      <c r="R110" s="284" t="n"/>
      <c r="S110" s="284" t="n"/>
      <c r="T110" s="285" t="n"/>
      <c r="U110" s="6" t="n"/>
    </row>
    <row r="111" ht="14.45" customHeight="1">
      <c r="B111" s="5" t="n"/>
      <c r="C111" s="200" t="inlineStr">
        <is>
          <t>1 - Os resultados apresentados neste documento aplicam-se somente ao equipamento calibrado indicado. The results reported in this doccument apply only to the indicated equipment.</t>
        </is>
      </c>
      <c r="U111" s="6" t="n"/>
    </row>
    <row r="112">
      <c r="B112" s="5" t="n"/>
      <c r="U112" s="6" t="n"/>
    </row>
    <row r="113" ht="14.45" customHeight="1">
      <c r="B113" s="5" t="n"/>
      <c r="C113" s="200" t="n"/>
      <c r="U113" s="6" t="n"/>
    </row>
    <row r="114" hidden="1">
      <c r="B114" s="5" t="n"/>
      <c r="U114" s="6" t="n"/>
    </row>
    <row r="115" ht="13.5" customHeight="1">
      <c r="B115" s="5" t="n"/>
      <c r="U115" s="6" t="n"/>
    </row>
    <row r="116" hidden="1">
      <c r="B116" s="5" t="n"/>
      <c r="U116" s="6" t="n"/>
    </row>
    <row r="117" hidden="1">
      <c r="B117" s="5" t="n"/>
      <c r="U117" s="6" t="n"/>
    </row>
    <row r="118" ht="15.95" customHeight="1">
      <c r="B118" s="5" t="n"/>
      <c r="F118" s="23" t="inlineStr">
        <is>
          <t>Elaborado por:</t>
        </is>
      </c>
      <c r="G118" s="23" t="n"/>
      <c r="H118" s="23" t="n"/>
      <c r="I118" s="23" t="n"/>
      <c r="J118" s="27" t="n"/>
      <c r="K118" s="27" t="n"/>
      <c r="L118" s="28" t="n"/>
      <c r="M118" s="23" t="n"/>
      <c r="N118" s="23" t="inlineStr">
        <is>
          <t>Verificado por:</t>
        </is>
      </c>
      <c r="O118" s="23" t="n"/>
      <c r="P118" s="23" t="n"/>
      <c r="Q118" s="28" t="n"/>
      <c r="U118" s="6" t="n"/>
    </row>
    <row r="119" hidden="1" ht="15.75" customHeight="1">
      <c r="B119" s="5" t="n"/>
      <c r="F119" s="23" t="n"/>
      <c r="G119" s="23" t="n"/>
      <c r="H119" s="23" t="n"/>
      <c r="I119" s="23" t="n"/>
      <c r="J119" s="27" t="n"/>
      <c r="K119" s="27" t="n"/>
      <c r="L119" s="28" t="n"/>
      <c r="M119" s="23" t="n"/>
      <c r="N119" s="23" t="n"/>
      <c r="O119" s="23" t="n"/>
      <c r="P119" s="23" t="n"/>
      <c r="Q119" s="28" t="n"/>
      <c r="U119" s="6" t="n"/>
    </row>
    <row r="120" hidden="1" ht="15.75" customHeight="1">
      <c r="B120" s="5" t="n"/>
      <c r="F120" s="23" t="n"/>
      <c r="G120" s="23" t="n"/>
      <c r="H120" s="23" t="n"/>
      <c r="I120" s="23" t="n"/>
      <c r="J120" s="27" t="n"/>
      <c r="K120" s="27" t="n"/>
      <c r="L120" s="28" t="n"/>
      <c r="M120" s="23" t="n"/>
      <c r="N120" s="23" t="n"/>
      <c r="O120" s="23" t="n"/>
      <c r="P120" s="23" t="n"/>
      <c r="Q120" s="28" t="n"/>
      <c r="U120" s="6" t="n"/>
    </row>
    <row r="121" ht="15.95" customHeight="1">
      <c r="B121" s="5" t="n"/>
      <c r="F121" s="23" t="n"/>
      <c r="G121" s="23" t="n"/>
      <c r="H121" s="23" t="n"/>
      <c r="I121" s="23" t="n"/>
      <c r="J121" s="27" t="n"/>
      <c r="K121" s="27" t="n"/>
      <c r="L121" s="28" t="n"/>
      <c r="M121" s="23" t="n"/>
      <c r="N121" s="23" t="n"/>
      <c r="O121" s="23" t="n"/>
      <c r="P121" s="23" t="n"/>
      <c r="Q121" s="28" t="n"/>
      <c r="U121" s="6" t="n"/>
    </row>
    <row r="122" hidden="1" ht="15.75" customHeight="1">
      <c r="B122" s="5" t="n"/>
      <c r="F122" s="29" t="n"/>
      <c r="G122" s="29" t="n"/>
      <c r="H122" s="29" t="n"/>
      <c r="I122" s="29" t="n"/>
      <c r="J122" s="23" t="n"/>
      <c r="K122" s="23" t="n"/>
      <c r="L122" s="23" t="n"/>
      <c r="M122" s="23" t="n"/>
      <c r="N122" s="29" t="n"/>
      <c r="O122" s="29" t="n"/>
      <c r="P122" s="29" t="n"/>
      <c r="Q122" s="29" t="n"/>
      <c r="U122" s="6" t="n"/>
    </row>
    <row r="123" ht="15.95" customHeight="1">
      <c r="B123" s="5" t="n"/>
      <c r="F123" s="336">
        <f>Linearização!F96</f>
        <v/>
      </c>
      <c r="G123" s="337" t="n"/>
      <c r="H123" s="337" t="n"/>
      <c r="I123" s="337" t="n"/>
      <c r="J123" s="338" t="n"/>
      <c r="K123" s="338" t="n"/>
      <c r="L123" s="23" t="n"/>
      <c r="M123" s="23" t="n"/>
      <c r="N123" s="201">
        <f>Linearização!N96</f>
        <v/>
      </c>
      <c r="O123" s="337" t="n"/>
      <c r="P123" s="337" t="n"/>
      <c r="Q123" s="337" t="n"/>
      <c r="U123" s="6" t="n"/>
    </row>
    <row r="124" hidden="1" ht="15.75" customHeight="1">
      <c r="B124" s="5" t="n"/>
      <c r="F124" s="339" t="n"/>
      <c r="G124" s="278" t="n"/>
      <c r="H124" s="278" t="n"/>
      <c r="I124" s="278" t="n"/>
      <c r="J124" s="338" t="n"/>
      <c r="K124" s="338" t="n"/>
      <c r="L124" s="23" t="n"/>
      <c r="M124" s="23" t="n"/>
      <c r="N124" s="339" t="n"/>
      <c r="O124" s="339" t="n"/>
      <c r="P124" s="339" t="n"/>
      <c r="Q124" s="339" t="n"/>
      <c r="U124" s="6" t="n"/>
    </row>
    <row r="125" ht="15.95" customHeight="1">
      <c r="B125" s="5" t="n"/>
      <c r="F125" s="339">
        <f>Linearização!F98</f>
        <v/>
      </c>
      <c r="G125" s="278" t="n"/>
      <c r="H125" s="278" t="n"/>
      <c r="I125" s="278" t="n"/>
      <c r="J125" s="23" t="n"/>
      <c r="K125" s="23" t="n"/>
      <c r="L125" s="23" t="n"/>
      <c r="M125" s="23" t="n"/>
      <c r="N125" s="339">
        <f>F125</f>
        <v/>
      </c>
      <c r="O125" s="278" t="n"/>
      <c r="P125" s="278" t="n"/>
      <c r="Q125" s="278" t="n"/>
      <c r="U125" s="6" t="n"/>
    </row>
    <row r="126">
      <c r="B126" s="5" t="n"/>
      <c r="U126" s="6" t="n"/>
    </row>
    <row r="127" ht="15.75" customHeight="1" thickBot="1">
      <c r="B127" s="7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9" t="n"/>
    </row>
    <row r="129" customFormat="1" s="2"/>
    <row r="130" customFormat="1" s="2"/>
    <row r="131" customFormat="1" s="2"/>
    <row r="132" customFormat="1" s="2"/>
    <row r="133" customFormat="1" s="2"/>
    <row r="134" customFormat="1" s="2"/>
    <row r="135" customFormat="1" s="2"/>
    <row r="136" customFormat="1" s="2"/>
    <row r="137" customFormat="1" s="2"/>
    <row r="138" customFormat="1" s="2"/>
    <row r="139" customFormat="1" s="2"/>
    <row r="140" customFormat="1" s="2"/>
    <row r="141" customFormat="1" s="2"/>
    <row r="142" customFormat="1" s="2"/>
    <row r="143" customFormat="1" s="2"/>
    <row r="144" customFormat="1" s="2"/>
    <row r="145" customFormat="1" s="2"/>
    <row r="146" customFormat="1" s="2"/>
    <row r="147" customFormat="1" s="2"/>
    <row r="148" customFormat="1" s="2"/>
    <row r="149" customFormat="1" s="2"/>
    <row r="150" customFormat="1" s="2"/>
    <row r="151" customFormat="1" s="2"/>
    <row r="152" customFormat="1" s="2"/>
    <row r="153" customFormat="1" s="2"/>
    <row r="154" customFormat="1" s="2"/>
    <row r="155" customFormat="1" s="2"/>
    <row r="156" customFormat="1" s="2"/>
    <row r="157" customFormat="1" s="2"/>
    <row r="158" customFormat="1" s="2"/>
    <row r="159" customFormat="1" s="2"/>
    <row r="160" customFormat="1" s="2"/>
    <row r="161" customFormat="1" s="2"/>
    <row r="162" customFormat="1" s="2"/>
    <row r="163" customFormat="1" s="2"/>
    <row r="164" customFormat="1" s="2"/>
    <row r="165" customFormat="1" s="2"/>
    <row r="166" customFormat="1" s="2"/>
    <row r="167" customFormat="1" s="2"/>
    <row r="168" customFormat="1" s="2"/>
    <row r="169" customFormat="1" s="2"/>
    <row r="170" customFormat="1" s="2"/>
    <row r="171" customFormat="1" s="2"/>
    <row r="172" customFormat="1" s="2"/>
    <row r="173" customFormat="1" s="2"/>
    <row r="174" customFormat="1" s="2"/>
    <row r="175" customFormat="1" s="2"/>
    <row r="176" customFormat="1" s="2"/>
    <row r="177" customFormat="1" s="2"/>
    <row r="178" customFormat="1" s="2"/>
    <row r="179" customFormat="1" s="2"/>
    <row r="180" customFormat="1" s="2"/>
  </sheetData>
  <mergeCells count="390">
    <mergeCell ref="N101:O101"/>
    <mergeCell ref="XFC70:XFD70"/>
    <mergeCell ref="I104:J104"/>
    <mergeCell ref="N100:O100"/>
    <mergeCell ref="K33:L33"/>
    <mergeCell ref="N94:O94"/>
    <mergeCell ref="I106:J106"/>
    <mergeCell ref="K35:L35"/>
    <mergeCell ref="M35:N35"/>
    <mergeCell ref="O32:P32"/>
    <mergeCell ref="O26:P26"/>
    <mergeCell ref="I66:J66"/>
    <mergeCell ref="Q26:R26"/>
    <mergeCell ref="C17:T17"/>
    <mergeCell ref="L102:M102"/>
    <mergeCell ref="C113:T114"/>
    <mergeCell ref="O40:P40"/>
    <mergeCell ref="O27:P27"/>
    <mergeCell ref="Q27:R27"/>
    <mergeCell ref="N87:O87"/>
    <mergeCell ref="XFC60:XFD60"/>
    <mergeCell ref="K28:L28"/>
    <mergeCell ref="N89:O89"/>
    <mergeCell ref="C28:D28"/>
    <mergeCell ref="S22:T22"/>
    <mergeCell ref="I30:J30"/>
    <mergeCell ref="K30:L30"/>
    <mergeCell ref="C30:D30"/>
    <mergeCell ref="Q37:R37"/>
    <mergeCell ref="L57:M57"/>
    <mergeCell ref="I61:J61"/>
    <mergeCell ref="Q38:R38"/>
    <mergeCell ref="I41:J41"/>
    <mergeCell ref="S38:T38"/>
    <mergeCell ref="K41:L41"/>
    <mergeCell ref="N102:O102"/>
    <mergeCell ref="XFC71:XFD71"/>
    <mergeCell ref="I56:J56"/>
    <mergeCell ref="Q40:R40"/>
    <mergeCell ref="S40:T40"/>
    <mergeCell ref="XFC73:XFD73"/>
    <mergeCell ref="H78:I79"/>
    <mergeCell ref="S33:T33"/>
    <mergeCell ref="D11:G11"/>
    <mergeCell ref="O37:P37"/>
    <mergeCell ref="I59:J59"/>
    <mergeCell ref="C52:T53"/>
    <mergeCell ref="C34:D34"/>
    <mergeCell ref="K25:L25"/>
    <mergeCell ref="C81:T82"/>
    <mergeCell ref="L103:M103"/>
    <mergeCell ref="E92:F92"/>
    <mergeCell ref="N96:O96"/>
    <mergeCell ref="K29:L29"/>
    <mergeCell ref="C29:D29"/>
    <mergeCell ref="E29:F29"/>
    <mergeCell ref="E94:F94"/>
    <mergeCell ref="N98:O98"/>
    <mergeCell ref="K31:L31"/>
    <mergeCell ref="S28:T28"/>
    <mergeCell ref="XFC67:XFD67"/>
    <mergeCell ref="M31:N31"/>
    <mergeCell ref="C31:D31"/>
    <mergeCell ref="E31:F31"/>
    <mergeCell ref="I45:L45"/>
    <mergeCell ref="G87:H87"/>
    <mergeCell ref="I87:J87"/>
    <mergeCell ref="C45:F45"/>
    <mergeCell ref="L58:M58"/>
    <mergeCell ref="I62:J62"/>
    <mergeCell ref="E95:F95"/>
    <mergeCell ref="E89:F89"/>
    <mergeCell ref="G95:H95"/>
    <mergeCell ref="G89:H89"/>
    <mergeCell ref="L60:M60"/>
    <mergeCell ref="M26:N26"/>
    <mergeCell ref="I64:J64"/>
    <mergeCell ref="Q41:R41"/>
    <mergeCell ref="S41:T41"/>
    <mergeCell ref="I65:J65"/>
    <mergeCell ref="C24:D24"/>
    <mergeCell ref="E24:F24"/>
    <mergeCell ref="D12:G12"/>
    <mergeCell ref="C26:D26"/>
    <mergeCell ref="E88:F88"/>
    <mergeCell ref="D14:G14"/>
    <mergeCell ref="L55:M55"/>
    <mergeCell ref="Q34:R34"/>
    <mergeCell ref="S34:T34"/>
    <mergeCell ref="K12:L12"/>
    <mergeCell ref="M12:T12"/>
    <mergeCell ref="M28:N28"/>
    <mergeCell ref="Q36:R36"/>
    <mergeCell ref="I39:J39"/>
    <mergeCell ref="S36:T36"/>
    <mergeCell ref="K39:L39"/>
    <mergeCell ref="K14:L14"/>
    <mergeCell ref="C39:D39"/>
    <mergeCell ref="XFC69:XFD69"/>
    <mergeCell ref="S29:T29"/>
    <mergeCell ref="M32:N32"/>
    <mergeCell ref="C37:D37"/>
    <mergeCell ref="E37:F37"/>
    <mergeCell ref="E97:F97"/>
    <mergeCell ref="S31:T31"/>
    <mergeCell ref="XFC72:XFD72"/>
    <mergeCell ref="C43:T43"/>
    <mergeCell ref="I25:J25"/>
    <mergeCell ref="I71:J71"/>
    <mergeCell ref="I58:J58"/>
    <mergeCell ref="H77:M77"/>
    <mergeCell ref="C27:D27"/>
    <mergeCell ref="E27:F27"/>
    <mergeCell ref="D13:G13"/>
    <mergeCell ref="E91:F91"/>
    <mergeCell ref="G91:H91"/>
    <mergeCell ref="G85:H85"/>
    <mergeCell ref="M14:T14"/>
    <mergeCell ref="E22:F22"/>
    <mergeCell ref="E93:F93"/>
    <mergeCell ref="G22:H22"/>
    <mergeCell ref="K13:L13"/>
    <mergeCell ref="G86:H86"/>
    <mergeCell ref="D19:E19"/>
    <mergeCell ref="I86:J86"/>
    <mergeCell ref="K15:L15"/>
    <mergeCell ref="Q39:R39"/>
    <mergeCell ref="S39:T39"/>
    <mergeCell ref="E38:F38"/>
    <mergeCell ref="G38:H38"/>
    <mergeCell ref="C40:D40"/>
    <mergeCell ref="E40:F40"/>
    <mergeCell ref="L92:M92"/>
    <mergeCell ref="N92:O92"/>
    <mergeCell ref="E104:F104"/>
    <mergeCell ref="G33:H33"/>
    <mergeCell ref="G104:H104"/>
    <mergeCell ref="I33:J33"/>
    <mergeCell ref="L94:M94"/>
    <mergeCell ref="M41:N41"/>
    <mergeCell ref="XFC63:XFD63"/>
    <mergeCell ref="G35:H35"/>
    <mergeCell ref="M24:N24"/>
    <mergeCell ref="I35:J35"/>
    <mergeCell ref="K10:L10"/>
    <mergeCell ref="G99:H99"/>
    <mergeCell ref="I99:J99"/>
    <mergeCell ref="F125:I125"/>
    <mergeCell ref="I74:J74"/>
    <mergeCell ref="M78:M79"/>
    <mergeCell ref="G101:H101"/>
    <mergeCell ref="L89:M89"/>
    <mergeCell ref="O22:P22"/>
    <mergeCell ref="L88:M88"/>
    <mergeCell ref="I21:J21"/>
    <mergeCell ref="C7:T7"/>
    <mergeCell ref="C21:D21"/>
    <mergeCell ref="M37:N37"/>
    <mergeCell ref="I23:J23"/>
    <mergeCell ref="K23:L23"/>
    <mergeCell ref="C23:D23"/>
    <mergeCell ref="L100:M100"/>
    <mergeCell ref="M38:N38"/>
    <mergeCell ref="E41:F41"/>
    <mergeCell ref="O38:P38"/>
    <mergeCell ref="G41:H41"/>
    <mergeCell ref="G106:H106"/>
    <mergeCell ref="G105:H105"/>
    <mergeCell ref="I34:J34"/>
    <mergeCell ref="L95:M95"/>
    <mergeCell ref="Q25:R25"/>
    <mergeCell ref="K34:L34"/>
    <mergeCell ref="N95:O95"/>
    <mergeCell ref="S25:T25"/>
    <mergeCell ref="I105:J105"/>
    <mergeCell ref="G36:H36"/>
    <mergeCell ref="O33:P33"/>
    <mergeCell ref="I36:J36"/>
    <mergeCell ref="Q33:R33"/>
    <mergeCell ref="L97:M97"/>
    <mergeCell ref="K36:L36"/>
    <mergeCell ref="N97:O97"/>
    <mergeCell ref="I101:J101"/>
    <mergeCell ref="XFC66:XFD66"/>
    <mergeCell ref="I100:J100"/>
    <mergeCell ref="XFC68:XFD68"/>
    <mergeCell ref="I102:J102"/>
    <mergeCell ref="Q22:R22"/>
    <mergeCell ref="N88:O88"/>
    <mergeCell ref="G29:H29"/>
    <mergeCell ref="L96:M96"/>
    <mergeCell ref="I29:J29"/>
    <mergeCell ref="L90:M90"/>
    <mergeCell ref="N90:O90"/>
    <mergeCell ref="XFC59:XFD59"/>
    <mergeCell ref="G31:H31"/>
    <mergeCell ref="I31:J31"/>
    <mergeCell ref="B2:U5"/>
    <mergeCell ref="XFC61:XFD61"/>
    <mergeCell ref="L91:M91"/>
    <mergeCell ref="Q21:R21"/>
    <mergeCell ref="N91:O91"/>
    <mergeCell ref="K24:L24"/>
    <mergeCell ref="S21:T21"/>
    <mergeCell ref="I89:J89"/>
    <mergeCell ref="I95:J95"/>
    <mergeCell ref="G97:H97"/>
    <mergeCell ref="I26:J26"/>
    <mergeCell ref="M9:T9"/>
    <mergeCell ref="K26:L26"/>
    <mergeCell ref="F123:I123"/>
    <mergeCell ref="XFC56:XFD56"/>
    <mergeCell ref="M11:T11"/>
    <mergeCell ref="O41:P41"/>
    <mergeCell ref="O35:P35"/>
    <mergeCell ref="Q35:R35"/>
    <mergeCell ref="I50:K50"/>
    <mergeCell ref="M15:T15"/>
    <mergeCell ref="N125:Q125"/>
    <mergeCell ref="Q30:R30"/>
    <mergeCell ref="S30:T30"/>
    <mergeCell ref="K37:L37"/>
    <mergeCell ref="L98:M98"/>
    <mergeCell ref="I70:J70"/>
    <mergeCell ref="K21:L21"/>
    <mergeCell ref="I57:J57"/>
    <mergeCell ref="L106:M106"/>
    <mergeCell ref="O29:P29"/>
    <mergeCell ref="Q29:R29"/>
    <mergeCell ref="I32:J32"/>
    <mergeCell ref="L93:M93"/>
    <mergeCell ref="Q23:R23"/>
    <mergeCell ref="K32:L32"/>
    <mergeCell ref="N93:O93"/>
    <mergeCell ref="S23:T23"/>
    <mergeCell ref="XFC62:XFD62"/>
    <mergeCell ref="C110:T110"/>
    <mergeCell ref="O31:P31"/>
    <mergeCell ref="I96:J96"/>
    <mergeCell ref="Q31:R31"/>
    <mergeCell ref="XFC64:XFD64"/>
    <mergeCell ref="E90:F90"/>
    <mergeCell ref="I98:J98"/>
    <mergeCell ref="S24:T24"/>
    <mergeCell ref="K27:L27"/>
    <mergeCell ref="M27:N27"/>
    <mergeCell ref="L59:M59"/>
    <mergeCell ref="XFC65:XFD65"/>
    <mergeCell ref="E25:F25"/>
    <mergeCell ref="G25:H25"/>
    <mergeCell ref="L61:M61"/>
    <mergeCell ref="I60:J60"/>
    <mergeCell ref="N104:O104"/>
    <mergeCell ref="K9:L9"/>
    <mergeCell ref="D15:G15"/>
    <mergeCell ref="N106:O106"/>
    <mergeCell ref="XFC75:XFD75"/>
    <mergeCell ref="K11:L11"/>
    <mergeCell ref="N105:O105"/>
    <mergeCell ref="K78:L79"/>
    <mergeCell ref="C22:D22"/>
    <mergeCell ref="D10:G10"/>
    <mergeCell ref="S37:T37"/>
    <mergeCell ref="K40:L40"/>
    <mergeCell ref="M40:N40"/>
    <mergeCell ref="M13:T13"/>
    <mergeCell ref="F124:I124"/>
    <mergeCell ref="E86:F86"/>
    <mergeCell ref="I73:J73"/>
    <mergeCell ref="C38:D38"/>
    <mergeCell ref="Q32:R32"/>
    <mergeCell ref="S32:T32"/>
    <mergeCell ref="S26:T26"/>
    <mergeCell ref="N123:Q123"/>
    <mergeCell ref="J78:J79"/>
    <mergeCell ref="E106:F106"/>
    <mergeCell ref="C33:D33"/>
    <mergeCell ref="E33:F33"/>
    <mergeCell ref="S27:T27"/>
    <mergeCell ref="C35:D35"/>
    <mergeCell ref="E35:F35"/>
    <mergeCell ref="L87:M87"/>
    <mergeCell ref="L62:M62"/>
    <mergeCell ref="C111:T112"/>
    <mergeCell ref="E28:F28"/>
    <mergeCell ref="G28:H28"/>
    <mergeCell ref="I28:J28"/>
    <mergeCell ref="M30:N30"/>
    <mergeCell ref="I68:J68"/>
    <mergeCell ref="E30:F30"/>
    <mergeCell ref="G92:H92"/>
    <mergeCell ref="G30:H30"/>
    <mergeCell ref="I92:J92"/>
    <mergeCell ref="I55:J55"/>
    <mergeCell ref="I67:J67"/>
    <mergeCell ref="E21:F21"/>
    <mergeCell ref="G21:H21"/>
    <mergeCell ref="E23:F23"/>
    <mergeCell ref="G23:H23"/>
    <mergeCell ref="L75:M75"/>
    <mergeCell ref="E87:F87"/>
    <mergeCell ref="C41:D41"/>
    <mergeCell ref="E34:F34"/>
    <mergeCell ref="E105:F105"/>
    <mergeCell ref="M25:N25"/>
    <mergeCell ref="G34:H34"/>
    <mergeCell ref="E99:F99"/>
    <mergeCell ref="O25:P25"/>
    <mergeCell ref="N103:O103"/>
    <mergeCell ref="M36:N36"/>
    <mergeCell ref="C36:D36"/>
    <mergeCell ref="E36:F36"/>
    <mergeCell ref="M33:N33"/>
    <mergeCell ref="E101:F101"/>
    <mergeCell ref="S35:T35"/>
    <mergeCell ref="XFC74:XFD74"/>
    <mergeCell ref="E100:F100"/>
    <mergeCell ref="G100:H100"/>
    <mergeCell ref="G94:H94"/>
    <mergeCell ref="I94:J94"/>
    <mergeCell ref="I69:J69"/>
    <mergeCell ref="E102:F102"/>
    <mergeCell ref="G102:H102"/>
    <mergeCell ref="M45:P45"/>
    <mergeCell ref="I72:J72"/>
    <mergeCell ref="M21:N21"/>
    <mergeCell ref="G24:H24"/>
    <mergeCell ref="O21:P21"/>
    <mergeCell ref="I24:J24"/>
    <mergeCell ref="E26:F26"/>
    <mergeCell ref="G88:H88"/>
    <mergeCell ref="G26:H26"/>
    <mergeCell ref="I88:J88"/>
    <mergeCell ref="G90:H90"/>
    <mergeCell ref="D9:G9"/>
    <mergeCell ref="M34:N34"/>
    <mergeCell ref="O34:P34"/>
    <mergeCell ref="O28:P28"/>
    <mergeCell ref="Q28:R28"/>
    <mergeCell ref="M39:N39"/>
    <mergeCell ref="O39:P39"/>
    <mergeCell ref="E39:F39"/>
    <mergeCell ref="O36:P36"/>
    <mergeCell ref="G39:H39"/>
    <mergeCell ref="O30:P30"/>
    <mergeCell ref="E103:F103"/>
    <mergeCell ref="G103:H103"/>
    <mergeCell ref="G37:H37"/>
    <mergeCell ref="I103:J103"/>
    <mergeCell ref="I37:J37"/>
    <mergeCell ref="M10:T10"/>
    <mergeCell ref="I97:J97"/>
    <mergeCell ref="C32:D32"/>
    <mergeCell ref="M29:N29"/>
    <mergeCell ref="E32:F32"/>
    <mergeCell ref="M23:N23"/>
    <mergeCell ref="G32:H32"/>
    <mergeCell ref="O23:P23"/>
    <mergeCell ref="I63:J63"/>
    <mergeCell ref="E96:F96"/>
    <mergeCell ref="G96:H96"/>
    <mergeCell ref="L86:M86"/>
    <mergeCell ref="I90:J90"/>
    <mergeCell ref="N86:O86"/>
    <mergeCell ref="E98:F98"/>
    <mergeCell ref="O24:P24"/>
    <mergeCell ref="G27:H27"/>
    <mergeCell ref="G98:H98"/>
    <mergeCell ref="Q24:R24"/>
    <mergeCell ref="I27:J27"/>
    <mergeCell ref="L101:M101"/>
    <mergeCell ref="XFC57:XFD57"/>
    <mergeCell ref="I91:J91"/>
    <mergeCell ref="I85:J85"/>
    <mergeCell ref="C25:D25"/>
    <mergeCell ref="G93:H93"/>
    <mergeCell ref="I22:J22"/>
    <mergeCell ref="I93:J93"/>
    <mergeCell ref="K22:L22"/>
    <mergeCell ref="XFC58:XFD58"/>
    <mergeCell ref="M22:N22"/>
    <mergeCell ref="L104:M104"/>
    <mergeCell ref="L56:M56"/>
    <mergeCell ref="L105:M105"/>
    <mergeCell ref="I38:J38"/>
    <mergeCell ref="L99:M99"/>
    <mergeCell ref="K38:L38"/>
    <mergeCell ref="N99:O99"/>
    <mergeCell ref="G40:H40"/>
    <mergeCell ref="I40:J40"/>
  </mergeCells>
  <conditionalFormatting sqref="N87:O106">
    <cfRule type="cellIs" priority="1" operator="equal" dxfId="0">
      <formula>"REPROVADO"</formula>
    </cfRule>
    <cfRule type="cellIs" priority="2" operator="equal" dxfId="2">
      <formula>"APROVADO"</formula>
    </cfRule>
  </conditionalFormatting>
  <conditionalFormatting sqref="S22:T41">
    <cfRule type="cellIs" priority="3" operator="equal" dxfId="2">
      <formula>"aprovado"</formula>
    </cfRule>
    <cfRule type="cellIs" priority="4" operator="equal" dxfId="0">
      <formula>"aprovado"</formula>
    </cfRule>
    <cfRule type="cellIs" priority="5" operator="equal" dxfId="0">
      <formula>"reprovado"</formula>
    </cfRule>
  </conditionalFormatting>
  <printOptions horizontalCentered="1"/>
  <pageMargins left="0.3937007874015748" right="0.3937007874015748" top="0.3937007874015748" bottom="0.3937007874015748" header="0.3149606299212598" footer="0.3149606299212598"/>
  <pageSetup orientation="landscape" paperSize="9" scale="48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Matheus de Moraes</dc:creator>
  <dcterms:created xmlns:dcterms="http://purl.org/dc/terms/" xmlns:xsi="http://www.w3.org/2001/XMLSchema-instance" xsi:type="dcterms:W3CDTF">2024-09-08T21:57:22Z</dcterms:created>
  <dcterms:modified xmlns:dcterms="http://purl.org/dc/terms/" xmlns:xsi="http://www.w3.org/2001/XMLSchema-instance" xsi:type="dcterms:W3CDTF">2026-09-16T19:41:20Z</dcterms:modified>
  <cp:lastModifiedBy>Matheus Bandeira</cp:lastModifiedBy>
  <cp:lastPrinted>2026-04-29T16:52:08Z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0x010100E22CB197A24E3E4DA81A36441D05E748</vt:lpwstr>
  </property>
  <property name="MediaServiceImageTags" fmtid="{D5CDD505-2E9C-101B-9397-08002B2CF9AE}" pid="3">
    <vt:lpwstr xmlns:vt="http://schemas.openxmlformats.org/officeDocument/2006/docPropsVTypes"/>
  </property>
</Properties>
</file>