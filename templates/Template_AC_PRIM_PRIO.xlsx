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fileSharing readOnlyRecommended="1"/>
  <workbookPr codeName="EstaPastaDeTrabalho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N:\Services\Operation\PRIO\24LA01537 O&amp;C\9 Certificates and UC\FPSO Forte\01. ÓLEO\06. TC_FIT-1223502_Offloading 502\01. Primario\2025.09.19\"/>
    </mc:Choice>
  </mc:AlternateContent>
  <xr:revisionPtr revIDLastSave="0" documentId="8_{D3EA1C71-12C3-4167-B4BE-82BC4492E36A}" xr6:coauthVersionLast="47" xr6:coauthVersionMax="47" xr10:uidLastSave="{00000000-0000-0000-0000-000000000000}"/>
  <bookViews>
    <workbookView xWindow="28680" yWindow="-120" windowWidth="29040" windowHeight="15720" tabRatio="701" xr2:uid="{00000000-000D-0000-FFFF-FFFF00000000}"/>
  </bookViews>
  <sheets>
    <sheet name="Sheet1" sheetId="7" r:id="rId1"/>
    <sheet name="APOIO" sheetId="8" r:id="rId2"/>
  </sheets>
  <definedNames>
    <definedName name="_xlnm.Print_Area" localSheetId="0">Sheet1!$A$1:$L$117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7" i="7" l="1"/>
  <c r="G58" i="7"/>
  <c r="G59" i="7"/>
  <c r="G60" i="7"/>
  <c r="G61" i="7"/>
  <c r="G62" i="7"/>
  <c r="G63" i="7"/>
  <c r="G64" i="7"/>
  <c r="G65" i="7"/>
  <c r="G56" i="7"/>
  <c r="H57" i="7"/>
  <c r="H58" i="7"/>
  <c r="H59" i="7"/>
  <c r="H60" i="7"/>
  <c r="H61" i="7"/>
  <c r="H62" i="7"/>
  <c r="H63" i="7"/>
  <c r="H64" i="7"/>
  <c r="H65" i="7"/>
  <c r="H56" i="7"/>
  <c r="H29" i="7"/>
  <c r="H30" i="7"/>
  <c r="H31" i="7"/>
  <c r="H32" i="7"/>
  <c r="H33" i="7"/>
  <c r="H34" i="7"/>
  <c r="H35" i="7"/>
  <c r="H36" i="7"/>
  <c r="H37" i="7"/>
  <c r="H28" i="7"/>
  <c r="F57" i="7"/>
  <c r="F58" i="7"/>
  <c r="F59" i="7"/>
  <c r="F60" i="7"/>
  <c r="F61" i="7"/>
  <c r="F62" i="7"/>
  <c r="F63" i="7"/>
  <c r="F64" i="7"/>
  <c r="F65" i="7"/>
  <c r="H83" i="7"/>
  <c r="F87" i="7"/>
  <c r="F88" i="7"/>
  <c r="F89" i="7"/>
  <c r="G89" i="7" s="1"/>
  <c r="F90" i="7"/>
  <c r="G90" i="7" s="1"/>
  <c r="F91" i="7"/>
  <c r="G91" i="7" s="1"/>
  <c r="F92" i="7"/>
  <c r="G92" i="7" s="1"/>
  <c r="F93" i="7"/>
  <c r="G93" i="7" s="1"/>
  <c r="F94" i="7"/>
  <c r="G94" i="7" s="1"/>
  <c r="F95" i="7"/>
  <c r="G95" i="7" s="1"/>
  <c r="C95" i="7"/>
  <c r="C87" i="7"/>
  <c r="C88" i="7"/>
  <c r="C89" i="7"/>
  <c r="C90" i="7"/>
  <c r="C91" i="7"/>
  <c r="C92" i="7"/>
  <c r="C93" i="7"/>
  <c r="C94" i="7"/>
  <c r="C86" i="7"/>
  <c r="C57" i="7"/>
  <c r="C58" i="7"/>
  <c r="C59" i="7"/>
  <c r="C60" i="7"/>
  <c r="C61" i="7"/>
  <c r="C62" i="7"/>
  <c r="C63" i="7"/>
  <c r="C64" i="7"/>
  <c r="C65" i="7"/>
  <c r="C56" i="7"/>
  <c r="I35" i="7"/>
  <c r="I36" i="7"/>
  <c r="I37" i="7"/>
  <c r="B4" i="7"/>
  <c r="I65" i="7" l="1"/>
  <c r="I64" i="7"/>
  <c r="I63" i="7"/>
  <c r="I29" i="7"/>
  <c r="I30" i="7"/>
  <c r="I31" i="7"/>
  <c r="I32" i="7"/>
  <c r="I33" i="7"/>
  <c r="I34" i="7"/>
  <c r="I28" i="7"/>
  <c r="F86" i="7"/>
  <c r="G86" i="7" l="1"/>
  <c r="G87" i="7"/>
  <c r="G88" i="7"/>
  <c r="F56" i="7" l="1"/>
  <c r="I56" i="7" s="1"/>
  <c r="I62" i="7" l="1"/>
  <c r="I61" i="7"/>
  <c r="I60" i="7"/>
  <c r="I59" i="7"/>
  <c r="I58" i="7"/>
  <c r="I57" i="7"/>
  <c r="B27" i="7" l="1"/>
  <c r="B55" i="7" s="1"/>
  <c r="B84" i="7"/>
  <c r="B85" i="7" l="1"/>
  <c r="D27" i="7" l="1"/>
  <c r="H53" i="7" l="1"/>
  <c r="B54" i="7" l="1"/>
  <c r="I17" i="7" l="1"/>
  <c r="I16" i="7"/>
  <c r="C27" i="7"/>
  <c r="C55" i="7" l="1"/>
  <c r="C85" i="7"/>
  <c r="F27" i="7"/>
</calcChain>
</file>

<file path=xl/sharedStrings.xml><?xml version="1.0" encoding="utf-8"?>
<sst xmlns="http://schemas.openxmlformats.org/spreadsheetml/2006/main" count="87" uniqueCount="65">
  <si>
    <t>Resultado</t>
  </si>
  <si>
    <t>Instrumento:</t>
  </si>
  <si>
    <t>N° Série:</t>
  </si>
  <si>
    <t>Data Calibração:</t>
  </si>
  <si>
    <t>Data da Análise:</t>
  </si>
  <si>
    <t>TAG:</t>
  </si>
  <si>
    <t>Fabricante</t>
  </si>
  <si>
    <t>Modelo:</t>
  </si>
  <si>
    <t>Certificado Atual:</t>
  </si>
  <si>
    <t>Certificado Anterior:</t>
  </si>
  <si>
    <t>Validade Padrão:</t>
  </si>
  <si>
    <t>Faixa de Medição:</t>
  </si>
  <si>
    <t>Laboratório:</t>
  </si>
  <si>
    <t>-</t>
  </si>
  <si>
    <t>Ponto Medição</t>
  </si>
  <si>
    <t>1 IDENTIFICAÇÃO DO INSTRUMENTO</t>
  </si>
  <si>
    <t>2 LIMITES DE UTILIZAÇÃO DOS PADRÕES PRIMARIOS E DE TRABALHO</t>
  </si>
  <si>
    <t>%</t>
  </si>
  <si>
    <t>RESULTADO</t>
  </si>
  <si>
    <t>SITUAÇÃO:</t>
  </si>
  <si>
    <t>Possui historico?</t>
  </si>
  <si>
    <t>SIM</t>
  </si>
  <si>
    <t>NÃO</t>
  </si>
  <si>
    <t>Unidade Certificado:</t>
  </si>
  <si>
    <t>DN:</t>
  </si>
  <si>
    <r>
      <rPr>
        <b/>
        <sz val="9"/>
        <color theme="1"/>
        <rFont val="Calibri"/>
        <family val="2"/>
        <scheme val="minor"/>
      </rPr>
      <t>NOTA:</t>
    </r>
    <r>
      <rPr>
        <sz val="9"/>
        <color theme="1"/>
        <rFont val="Calibri"/>
        <family val="2"/>
        <scheme val="minor"/>
      </rPr>
      <t xml:space="preserve"> Utilizar os parâmetros contidos no Plano de Calibração.</t>
    </r>
  </si>
  <si>
    <r>
      <rPr>
        <b/>
        <sz val="9"/>
        <color theme="1"/>
        <rFont val="Calibri"/>
        <family val="2"/>
        <scheme val="minor"/>
      </rPr>
      <t xml:space="preserve">NOTA: </t>
    </r>
    <r>
      <rPr>
        <sz val="9"/>
        <color theme="1"/>
        <rFont val="Calibri"/>
        <family val="2"/>
        <scheme val="minor"/>
      </rPr>
      <t>Consultar o procedimento PR-LAB-006 (Anexo 1) para preenchimento do campo de incerteza máxima admissível.</t>
    </r>
  </si>
  <si>
    <t>Parâmetro para o cálculo de análise</t>
  </si>
  <si>
    <t>Tipo de Equipamento:</t>
  </si>
  <si>
    <t xml:space="preserve">  2.2 - ANÁLISE DO METER FACTOR:</t>
  </si>
  <si>
    <t>MF Anterior</t>
  </si>
  <si>
    <t>MF Atual</t>
  </si>
  <si>
    <t>Critério</t>
  </si>
  <si>
    <t>Repetibilidade:</t>
  </si>
  <si>
    <t xml:space="preserve">  2.3 - ANÁLISE DA REPETIBILIDADE:</t>
  </si>
  <si>
    <t>Repetibilidade Anterior</t>
  </si>
  <si>
    <t>Repetibilidade Atual</t>
  </si>
  <si>
    <t>Pressão de Calibração:</t>
  </si>
  <si>
    <t>Meter Factor:</t>
  </si>
  <si>
    <t xml:space="preserve">Diferença </t>
  </si>
  <si>
    <t>Incerteza de Medição Anterior</t>
  </si>
  <si>
    <t>Incerteza de Medição Atual</t>
  </si>
  <si>
    <t>Erro Medição Anterior</t>
  </si>
  <si>
    <t>Erro Medição Atual</t>
  </si>
  <si>
    <t>Falixa Calibrada</t>
  </si>
  <si>
    <t>MÉTRICA</t>
  </si>
  <si>
    <t>Responsável pela análise</t>
  </si>
  <si>
    <t>Documento Principal: PRIO-00.02-MDF-PRO-0030 - Verificar Metrologicamente Equipamentos de Medição – Sistema de Gestão de Medição (SGM)</t>
  </si>
  <si>
    <t>KROHNE</t>
  </si>
  <si>
    <t>SI</t>
  </si>
  <si>
    <t>Medidor de Vazão</t>
  </si>
  <si>
    <t>RIOFlow</t>
  </si>
  <si>
    <t>Erro Máximo Admissível:</t>
  </si>
  <si>
    <t>Observações: Medidor aprovado para instalação</t>
  </si>
  <si>
    <t xml:space="preserve">  2.1 - ERRO DE MEDIÇÃO:</t>
  </si>
  <si>
    <t xml:space="preserve">FIT - 1223502 </t>
  </si>
  <si>
    <t xml:space="preserve">UFS 500F // UFC-V // UFP-V </t>
  </si>
  <si>
    <t>209464 1102 // 1202</t>
  </si>
  <si>
    <t>1200 m³/h a 5700 m³/h</t>
  </si>
  <si>
    <t>105,2 kPa</t>
  </si>
  <si>
    <t>24"</t>
  </si>
  <si>
    <t>ULTRASSÔNICO</t>
  </si>
  <si>
    <t>RFL 25098648M</t>
  </si>
  <si>
    <t>Padrão 16 HV: 23/01/26
Padrão 15 HV: 23/03/25</t>
  </si>
  <si>
    <t>RFL 24087658M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</si>
</sst>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[$-416]dddd\,\ d&quot; de &quot;mmmm&quot; de &quot;yyyy"/>
    <numFmt numFmtId="167" formatCode="0.0000"/>
  </numFmts>
  <fonts count="17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8080"/>
      <name val="Prio"/>
      <family val="3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vertical="center"/>
    </xf>
    <xf numFmtId="17" fontId="0" fillId="0" borderId="0" xfId="0" applyNumberFormat="1" applyAlignment="1">
      <alignment horizontal="left"/>
    </xf>
    <xf numFmtId="0" fontId="5" fillId="0" borderId="0" xfId="0" applyFont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0" borderId="5" xfId="0" applyBorder="1"/>
    <xf numFmtId="0" fontId="0" fillId="0" borderId="0" xfId="0" applyAlignment="1">
      <alignment vertical="top"/>
    </xf>
    <xf numFmtId="164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vertical="top" wrapText="1"/>
    </xf>
    <xf numFmtId="165" fontId="9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 vertical="center"/>
    </xf>
    <xf numFmtId="0" fontId="0" fillId="0" borderId="0" xfId="0" applyAlignment="1">
      <alignment vertical="top" wrapText="1"/>
    </xf>
    <xf numFmtId="0" fontId="11" fillId="0" borderId="0" xfId="0" applyFont="1"/>
    <xf numFmtId="49" fontId="2" fillId="0" borderId="1" xfId="0" applyNumberFormat="1" applyFont="1" applyBorder="1" applyAlignment="1">
      <alignment vertical="center"/>
    </xf>
    <xf numFmtId="2" fontId="8" fillId="0" borderId="1" xfId="0" applyNumberFormat="1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Continuous"/>
    </xf>
    <xf numFmtId="0" fontId="2" fillId="2" borderId="1" xfId="0" applyFon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top"/>
    </xf>
    <xf numFmtId="167" fontId="8" fillId="3" borderId="1" xfId="0" applyNumberFormat="1" applyFont="1" applyFill="1" applyBorder="1" applyAlignment="1">
      <alignment horizontal="center" vertical="top"/>
    </xf>
    <xf numFmtId="164" fontId="8" fillId="0" borderId="1" xfId="0" applyNumberFormat="1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0" fontId="10" fillId="0" borderId="0" xfId="0" applyFont="1"/>
    <xf numFmtId="0" fontId="0" fillId="0" borderId="0" xfId="0" applyAlignment="1">
      <alignment horizontal="right"/>
    </xf>
    <xf numFmtId="0" fontId="4" fillId="2" borderId="0" xfId="0" applyFont="1" applyFill="1" applyAlignment="1">
      <alignment horizontal="right"/>
    </xf>
    <xf numFmtId="2" fontId="0" fillId="2" borderId="0" xfId="0" applyNumberFormat="1" applyFill="1"/>
    <xf numFmtId="0" fontId="0" fillId="2" borderId="0" xfId="0" applyFill="1" applyAlignment="1">
      <alignment horizontal="right"/>
    </xf>
    <xf numFmtId="2" fontId="0" fillId="0" borderId="0" xfId="0" applyNumberFormat="1"/>
    <xf numFmtId="0" fontId="12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/>
    </xf>
    <xf numFmtId="2" fontId="8" fillId="2" borderId="0" xfId="0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2" fontId="8" fillId="0" borderId="0" xfId="0" applyNumberFormat="1" applyFont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/>
    <xf numFmtId="49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 vertical="top"/>
    </xf>
    <xf numFmtId="14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49" fontId="7" fillId="0" borderId="1" xfId="0" applyNumberFormat="1" applyFont="1" applyBorder="1" applyAlignment="1">
      <alignment horizontal="center" vertical="center" wrapText="1"/>
    </xf>
    <xf numFmtId="9" fontId="8" fillId="0" borderId="0" xfId="1" applyFont="1" applyBorder="1" applyAlignment="1">
      <alignment horizontal="center" vertical="top"/>
    </xf>
    <xf numFmtId="10" fontId="0" fillId="0" borderId="0" xfId="1" applyNumberFormat="1" applyFont="1" applyBorder="1" applyAlignment="1">
      <alignment horizontal="center" vertical="top"/>
    </xf>
    <xf numFmtId="165" fontId="2" fillId="0" borderId="0" xfId="0" applyNumberFormat="1" applyFont="1" applyBorder="1" applyAlignment="1">
      <alignment horizontal="center" vertical="top"/>
    </xf>
    <xf numFmtId="165" fontId="9" fillId="0" borderId="0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2" borderId="0" xfId="0" applyFont="1" applyFill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1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166" fontId="2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top" wrapText="1"/>
    </xf>
    <xf numFmtId="0" fontId="2" fillId="0" borderId="1" xfId="0" applyFont="1" applyBorder="1" applyAlignment="1">
      <alignment horizontal="right" vertical="center"/>
    </xf>
    <xf numFmtId="1" fontId="0" fillId="3" borderId="1" xfId="0" quotePrefix="1" applyNumberForma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8" fillId="0" borderId="1" xfId="1" applyNumberFormat="1" applyFont="1" applyBorder="1" applyAlignment="1">
      <alignment horizontal="center" vertical="top"/>
    </xf>
  </cellXfs>
  <cellStyles count="2">
    <cellStyle name="Normal" xfId="0" builtinId="0"/>
    <cellStyle name="Porcentagem" xfId="1" builtinId="5"/>
  </cellStyles>
  <dxfs count="22"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ANÁLISE PARAMÉTRICA</a:t>
            </a:r>
          </a:p>
        </c:rich>
      </c:tx>
      <c:layout>
        <c:manualLayout>
          <c:xMode val="edge"/>
          <c:yMode val="edge"/>
          <c:x val="0.40352219508593623"/>
          <c:y val="5.80973129992737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0379275860638112E-2"/>
          <c:y val="6.3995616021897864E-2"/>
          <c:w val="0.86867012426637735"/>
          <c:h val="0.8397973038520456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Sheet1!$D$84</c:f>
              <c:strCache>
                <c:ptCount val="1"/>
                <c:pt idx="0">
                  <c:v>Repetibilidade Anterior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Sheet1!$C$86:$C$95</c:f>
              <c:numCache>
                <c:formatCode>0.00</c:formatCode>
                <c:ptCount val="10"/>
                <c:pt idx="0">
                  <c:v>1200</c:v>
                </c:pt>
                <c:pt idx="1">
                  <c:v>1400</c:v>
                </c:pt>
                <c:pt idx="2">
                  <c:v>1600</c:v>
                </c:pt>
                <c:pt idx="3">
                  <c:v>1900</c:v>
                </c:pt>
                <c:pt idx="4">
                  <c:v>2300</c:v>
                </c:pt>
                <c:pt idx="5">
                  <c:v>2800</c:v>
                </c:pt>
                <c:pt idx="6">
                  <c:v>3400</c:v>
                </c:pt>
                <c:pt idx="7">
                  <c:v>4000</c:v>
                </c:pt>
                <c:pt idx="8">
                  <c:v>4800</c:v>
                </c:pt>
                <c:pt idx="9">
                  <c:v>5700</c:v>
                </c:pt>
              </c:numCache>
            </c:numRef>
          </c:xVal>
          <c:yVal>
            <c:numRef>
              <c:f>Sheet1!$D$86:$D$95</c:f>
              <c:numCache>
                <c:formatCode>0.00</c:formatCode>
                <c:ptCount val="10"/>
                <c:pt idx="0">
                  <c:v>0.01</c:v>
                </c:pt>
                <c:pt idx="1">
                  <c:v>0.04</c:v>
                </c:pt>
                <c:pt idx="2">
                  <c:v>0.03</c:v>
                </c:pt>
                <c:pt idx="3">
                  <c:v>0.02</c:v>
                </c:pt>
                <c:pt idx="4">
                  <c:v>0.01</c:v>
                </c:pt>
                <c:pt idx="5">
                  <c:v>0.02</c:v>
                </c:pt>
                <c:pt idx="6">
                  <c:v>0.03</c:v>
                </c:pt>
                <c:pt idx="7">
                  <c:v>0.03</c:v>
                </c:pt>
                <c:pt idx="8">
                  <c:v>0.01</c:v>
                </c:pt>
                <c:pt idx="9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7C-4DC1-992E-493D953E6741}"/>
            </c:ext>
          </c:extLst>
        </c:ser>
        <c:ser>
          <c:idx val="1"/>
          <c:order val="1"/>
          <c:tx>
            <c:strRef>
              <c:f>Sheet1!$E$84</c:f>
              <c:strCache>
                <c:ptCount val="1"/>
                <c:pt idx="0">
                  <c:v>Repetibilidade Atual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Sheet1!$C$86:$C$95</c:f>
              <c:numCache>
                <c:formatCode>0.00</c:formatCode>
                <c:ptCount val="10"/>
                <c:pt idx="0">
                  <c:v>1200</c:v>
                </c:pt>
                <c:pt idx="1">
                  <c:v>1400</c:v>
                </c:pt>
                <c:pt idx="2">
                  <c:v>1600</c:v>
                </c:pt>
                <c:pt idx="3">
                  <c:v>1900</c:v>
                </c:pt>
                <c:pt idx="4">
                  <c:v>2300</c:v>
                </c:pt>
                <c:pt idx="5">
                  <c:v>2800</c:v>
                </c:pt>
                <c:pt idx="6">
                  <c:v>3400</c:v>
                </c:pt>
                <c:pt idx="7">
                  <c:v>4000</c:v>
                </c:pt>
                <c:pt idx="8">
                  <c:v>4800</c:v>
                </c:pt>
                <c:pt idx="9">
                  <c:v>5700</c:v>
                </c:pt>
              </c:numCache>
            </c:numRef>
          </c:xVal>
          <c:yVal>
            <c:numRef>
              <c:f>Sheet1!$E$86:$E$95</c:f>
              <c:numCache>
                <c:formatCode>0.00</c:formatCode>
                <c:ptCount val="10"/>
                <c:pt idx="0">
                  <c:v>0.03</c:v>
                </c:pt>
                <c:pt idx="1">
                  <c:v>0.01</c:v>
                </c:pt>
                <c:pt idx="2">
                  <c:v>0.02</c:v>
                </c:pt>
                <c:pt idx="3">
                  <c:v>0.01</c:v>
                </c:pt>
                <c:pt idx="4">
                  <c:v>0.04</c:v>
                </c:pt>
                <c:pt idx="5">
                  <c:v>0.03</c:v>
                </c:pt>
                <c:pt idx="6">
                  <c:v>0.03</c:v>
                </c:pt>
                <c:pt idx="7">
                  <c:v>0.01</c:v>
                </c:pt>
                <c:pt idx="8">
                  <c:v>0.02</c:v>
                </c:pt>
                <c:pt idx="9">
                  <c:v>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7C-4DC1-992E-493D953E6741}"/>
            </c:ext>
          </c:extLst>
        </c:ser>
        <c:ser>
          <c:idx val="2"/>
          <c:order val="2"/>
          <c:tx>
            <c:strRef>
              <c:f>Sheet1!$F$84</c:f>
              <c:strCache>
                <c:ptCount val="1"/>
                <c:pt idx="0">
                  <c:v>Critério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Sheet1!$C$86:$C$95</c:f>
              <c:numCache>
                <c:formatCode>0.00</c:formatCode>
                <c:ptCount val="10"/>
                <c:pt idx="0">
                  <c:v>1200</c:v>
                </c:pt>
                <c:pt idx="1">
                  <c:v>1400</c:v>
                </c:pt>
                <c:pt idx="2">
                  <c:v>1600</c:v>
                </c:pt>
                <c:pt idx="3">
                  <c:v>1900</c:v>
                </c:pt>
                <c:pt idx="4">
                  <c:v>2300</c:v>
                </c:pt>
                <c:pt idx="5">
                  <c:v>2800</c:v>
                </c:pt>
                <c:pt idx="6">
                  <c:v>3400</c:v>
                </c:pt>
                <c:pt idx="7">
                  <c:v>4000</c:v>
                </c:pt>
                <c:pt idx="8">
                  <c:v>4800</c:v>
                </c:pt>
                <c:pt idx="9">
                  <c:v>5700</c:v>
                </c:pt>
              </c:numCache>
            </c:numRef>
          </c:xVal>
          <c:yVal>
            <c:numRef>
              <c:f>Sheet1!$F$86:$F$95</c:f>
              <c:numCache>
                <c:formatCode>0.000</c:formatCode>
                <c:ptCount val="10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05-4945-8067-18C01FCF9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560143"/>
        <c:axId val="972024687"/>
      </c:scatterChart>
      <c:valAx>
        <c:axId val="803560143"/>
        <c:scaling>
          <c:orientation val="minMax"/>
          <c:min val="1000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2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024687"/>
        <c:crosses val="autoZero"/>
        <c:crossBetween val="midCat"/>
      </c:valAx>
      <c:valAx>
        <c:axId val="9720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3560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364326605741571"/>
          <c:y val="0.95098004906249467"/>
          <c:w val="0.37271337347254535"/>
          <c:h val="4.90199509375053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600" b="1" i="0" u="none" strike="noStrike" kern="1200" spc="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kern="1200" spc="0" baseline="0">
                <a:solidFill>
                  <a:srgbClr val="1F497D"/>
                </a:solidFill>
                <a:latin typeface="+mn-lt"/>
                <a:ea typeface="+mn-ea"/>
                <a:cs typeface="+mn-cs"/>
              </a:rPr>
              <a:t>ANÁLISE PARAMÉTRICA</a:t>
            </a:r>
          </a:p>
        </c:rich>
      </c:tx>
      <c:layout>
        <c:manualLayout>
          <c:xMode val="edge"/>
          <c:yMode val="edge"/>
          <c:x val="0.43526017173793707"/>
          <c:y val="1.658582879218583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600" b="1" i="0" u="none" strike="noStrike" kern="1200" spc="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6373561392692899E-2"/>
          <c:y val="7.4896755552614741E-2"/>
          <c:w val="0.86867012426637735"/>
          <c:h val="0.8151006138088233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Sheet1!$D$54</c:f>
              <c:strCache>
                <c:ptCount val="1"/>
                <c:pt idx="0">
                  <c:v>MF Anterior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Sheet1!$C$56:$C$65</c:f>
              <c:numCache>
                <c:formatCode>0.00</c:formatCode>
                <c:ptCount val="10"/>
                <c:pt idx="0">
                  <c:v>1200</c:v>
                </c:pt>
                <c:pt idx="1">
                  <c:v>1400</c:v>
                </c:pt>
                <c:pt idx="2">
                  <c:v>1600</c:v>
                </c:pt>
                <c:pt idx="3">
                  <c:v>1900</c:v>
                </c:pt>
                <c:pt idx="4">
                  <c:v>2300</c:v>
                </c:pt>
                <c:pt idx="5">
                  <c:v>2800</c:v>
                </c:pt>
                <c:pt idx="6">
                  <c:v>3400</c:v>
                </c:pt>
                <c:pt idx="7">
                  <c:v>4000</c:v>
                </c:pt>
                <c:pt idx="8">
                  <c:v>4800</c:v>
                </c:pt>
                <c:pt idx="9">
                  <c:v>5700</c:v>
                </c:pt>
              </c:numCache>
            </c:numRef>
          </c:xVal>
          <c:yVal>
            <c:numRef>
              <c:f>Sheet1!$D$56:$D$65</c:f>
              <c:numCache>
                <c:formatCode>0.0000</c:formatCode>
                <c:ptCount val="10"/>
                <c:pt idx="0">
                  <c:v>0.99946999999999997</c:v>
                </c:pt>
                <c:pt idx="1">
                  <c:v>0.99924000000000002</c:v>
                </c:pt>
                <c:pt idx="2">
                  <c:v>0.99953000000000003</c:v>
                </c:pt>
                <c:pt idx="3">
                  <c:v>1.0004299999999999</c:v>
                </c:pt>
                <c:pt idx="4">
                  <c:v>0.99933000000000005</c:v>
                </c:pt>
                <c:pt idx="5">
                  <c:v>0.99939999999999996</c:v>
                </c:pt>
                <c:pt idx="6">
                  <c:v>0.99850000000000005</c:v>
                </c:pt>
                <c:pt idx="7">
                  <c:v>1.0014000000000001</c:v>
                </c:pt>
                <c:pt idx="8">
                  <c:v>0.99848000000000003</c:v>
                </c:pt>
                <c:pt idx="9">
                  <c:v>0.999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AD-4041-BF4A-5497A1F24894}"/>
            </c:ext>
          </c:extLst>
        </c:ser>
        <c:ser>
          <c:idx val="1"/>
          <c:order val="1"/>
          <c:tx>
            <c:strRef>
              <c:f>Sheet1!$E$54</c:f>
              <c:strCache>
                <c:ptCount val="1"/>
                <c:pt idx="0">
                  <c:v>MF Atual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Sheet1!$C$56:$C$65</c:f>
              <c:numCache>
                <c:formatCode>0.00</c:formatCode>
                <c:ptCount val="10"/>
                <c:pt idx="0">
                  <c:v>1200</c:v>
                </c:pt>
                <c:pt idx="1">
                  <c:v>1400</c:v>
                </c:pt>
                <c:pt idx="2">
                  <c:v>1600</c:v>
                </c:pt>
                <c:pt idx="3">
                  <c:v>1900</c:v>
                </c:pt>
                <c:pt idx="4">
                  <c:v>2300</c:v>
                </c:pt>
                <c:pt idx="5">
                  <c:v>2800</c:v>
                </c:pt>
                <c:pt idx="6">
                  <c:v>3400</c:v>
                </c:pt>
                <c:pt idx="7">
                  <c:v>4000</c:v>
                </c:pt>
                <c:pt idx="8">
                  <c:v>4800</c:v>
                </c:pt>
                <c:pt idx="9">
                  <c:v>5700</c:v>
                </c:pt>
              </c:numCache>
            </c:numRef>
          </c:xVal>
          <c:yVal>
            <c:numRef>
              <c:f>Sheet1!$E$56:$E$65</c:f>
              <c:numCache>
                <c:formatCode>0.0000</c:formatCode>
                <c:ptCount val="10"/>
                <c:pt idx="0">
                  <c:v>0.99939</c:v>
                </c:pt>
                <c:pt idx="1">
                  <c:v>0.99946000000000002</c:v>
                </c:pt>
                <c:pt idx="2">
                  <c:v>1.00023</c:v>
                </c:pt>
                <c:pt idx="3">
                  <c:v>0.99965000000000004</c:v>
                </c:pt>
                <c:pt idx="4">
                  <c:v>0.99917</c:v>
                </c:pt>
                <c:pt idx="5">
                  <c:v>0.99931999999999999</c:v>
                </c:pt>
                <c:pt idx="6">
                  <c:v>0.99978</c:v>
                </c:pt>
                <c:pt idx="7">
                  <c:v>0.99985000000000002</c:v>
                </c:pt>
                <c:pt idx="8">
                  <c:v>0.99926999999999999</c:v>
                </c:pt>
                <c:pt idx="9">
                  <c:v>0.99929999999999997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AD-4041-BF4A-5497A1F24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560143"/>
        <c:axId val="972024687"/>
      </c:scatterChart>
      <c:valAx>
        <c:axId val="803560143"/>
        <c:scaling>
          <c:orientation val="minMax"/>
          <c:min val="1000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024687"/>
        <c:crosses val="autoZero"/>
        <c:crossBetween val="midCat"/>
      </c:valAx>
      <c:valAx>
        <c:axId val="9720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3560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653176354271881"/>
          <c:y val="0.95197399638946745"/>
          <c:w val="0.17385829535440606"/>
          <c:h val="4.802593365459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ANÁLISE PARAMÉTRICA</a:t>
            </a:r>
          </a:p>
        </c:rich>
      </c:tx>
      <c:layout>
        <c:manualLayout>
          <c:xMode val="edge"/>
          <c:yMode val="edge"/>
          <c:x val="0.42737439974837893"/>
          <c:y val="1.056044092355246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4924072290108602E-2"/>
          <c:y val="8.4790396144656346E-2"/>
          <c:w val="0.86722767537079692"/>
          <c:h val="0.803765796901068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Sheet1!$F$26</c:f>
              <c:strCache>
                <c:ptCount val="1"/>
                <c:pt idx="0">
                  <c:v>Incerteza de Medição Anterior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Sheet1!$C$28:$C$37</c:f>
              <c:numCache>
                <c:formatCode>0.00</c:formatCode>
                <c:ptCount val="10"/>
                <c:pt idx="0">
                  <c:v>1200</c:v>
                </c:pt>
                <c:pt idx="1">
                  <c:v>1400</c:v>
                </c:pt>
                <c:pt idx="2">
                  <c:v>1600</c:v>
                </c:pt>
                <c:pt idx="3">
                  <c:v>1900</c:v>
                </c:pt>
                <c:pt idx="4">
                  <c:v>2300</c:v>
                </c:pt>
                <c:pt idx="5">
                  <c:v>2800</c:v>
                </c:pt>
                <c:pt idx="6">
                  <c:v>3400</c:v>
                </c:pt>
                <c:pt idx="7">
                  <c:v>4000</c:v>
                </c:pt>
                <c:pt idx="8">
                  <c:v>4800</c:v>
                </c:pt>
                <c:pt idx="9">
                  <c:v>5700</c:v>
                </c:pt>
              </c:numCache>
            </c:numRef>
          </c:xVal>
          <c:yVal>
            <c:numRef>
              <c:f>Sheet1!$F$28:$F$37</c:f>
              <c:numCache>
                <c:formatCode>0.00</c:formatCode>
                <c:ptCount val="10"/>
                <c:pt idx="0">
                  <c:v>0.12</c:v>
                </c:pt>
                <c:pt idx="1">
                  <c:v>0.12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0.12</c:v>
                </c:pt>
                <c:pt idx="9">
                  <c:v>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11-449E-92BB-BACA95E04654}"/>
            </c:ext>
          </c:extLst>
        </c:ser>
        <c:ser>
          <c:idx val="1"/>
          <c:order val="1"/>
          <c:tx>
            <c:strRef>
              <c:f>Sheet1!$G$26</c:f>
              <c:strCache>
                <c:ptCount val="1"/>
                <c:pt idx="0">
                  <c:v>Incerteza de Medição Atual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Sheet1!$C$28:$C$37</c:f>
              <c:numCache>
                <c:formatCode>0.00</c:formatCode>
                <c:ptCount val="10"/>
                <c:pt idx="0">
                  <c:v>1200</c:v>
                </c:pt>
                <c:pt idx="1">
                  <c:v>1400</c:v>
                </c:pt>
                <c:pt idx="2">
                  <c:v>1600</c:v>
                </c:pt>
                <c:pt idx="3">
                  <c:v>1900</c:v>
                </c:pt>
                <c:pt idx="4">
                  <c:v>2300</c:v>
                </c:pt>
                <c:pt idx="5">
                  <c:v>2800</c:v>
                </c:pt>
                <c:pt idx="6">
                  <c:v>3400</c:v>
                </c:pt>
                <c:pt idx="7">
                  <c:v>4000</c:v>
                </c:pt>
                <c:pt idx="8">
                  <c:v>4800</c:v>
                </c:pt>
                <c:pt idx="9">
                  <c:v>5700</c:v>
                </c:pt>
              </c:numCache>
            </c:numRef>
          </c:xVal>
          <c:yVal>
            <c:numRef>
              <c:f>Sheet1!$G$28:$G$37</c:f>
              <c:numCache>
                <c:formatCode>0.00</c:formatCode>
                <c:ptCount val="10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0.12</c:v>
                </c:pt>
                <c:pt idx="9">
                  <c:v>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11-449E-92BB-BACA95E04654}"/>
            </c:ext>
          </c:extLst>
        </c:ser>
        <c:ser>
          <c:idx val="2"/>
          <c:order val="2"/>
          <c:tx>
            <c:strRef>
              <c:f>Sheet1!$E$26</c:f>
              <c:strCache>
                <c:ptCount val="1"/>
                <c:pt idx="0">
                  <c:v>Erro Medição Atual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Sheet1!$C$28:$C$37</c:f>
              <c:numCache>
                <c:formatCode>0.00</c:formatCode>
                <c:ptCount val="10"/>
                <c:pt idx="0">
                  <c:v>1200</c:v>
                </c:pt>
                <c:pt idx="1">
                  <c:v>1400</c:v>
                </c:pt>
                <c:pt idx="2">
                  <c:v>1600</c:v>
                </c:pt>
                <c:pt idx="3">
                  <c:v>1900</c:v>
                </c:pt>
                <c:pt idx="4">
                  <c:v>2300</c:v>
                </c:pt>
                <c:pt idx="5">
                  <c:v>2800</c:v>
                </c:pt>
                <c:pt idx="6">
                  <c:v>3400</c:v>
                </c:pt>
                <c:pt idx="7">
                  <c:v>4000</c:v>
                </c:pt>
                <c:pt idx="8">
                  <c:v>4800</c:v>
                </c:pt>
                <c:pt idx="9">
                  <c:v>5700</c:v>
                </c:pt>
              </c:numCache>
            </c:numRef>
          </c:xVal>
          <c:yVal>
            <c:numRef>
              <c:f>Sheet1!$E$28:$E$37</c:f>
              <c:numCache>
                <c:formatCode>0.00</c:formatCode>
                <c:ptCount val="10"/>
                <c:pt idx="0">
                  <c:v>0.06</c:v>
                </c:pt>
                <c:pt idx="1">
                  <c:v>0.05</c:v>
                </c:pt>
                <c:pt idx="2">
                  <c:v>-0.02</c:v>
                </c:pt>
                <c:pt idx="3">
                  <c:v>0.03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0.02</c:v>
                </c:pt>
                <c:pt idx="7">
                  <c:v>0.01</c:v>
                </c:pt>
                <c:pt idx="8">
                  <c:v>7.0000000000000007E-2</c:v>
                </c:pt>
                <c:pt idx="9">
                  <c:v>7.0000000000000007E-2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11-449E-92BB-BACA95E04654}"/>
            </c:ext>
          </c:extLst>
        </c:ser>
        <c:ser>
          <c:idx val="3"/>
          <c:order val="3"/>
          <c:tx>
            <c:strRef>
              <c:f>Sheet1!$D$26</c:f>
              <c:strCache>
                <c:ptCount val="1"/>
                <c:pt idx="0">
                  <c:v>Erro Medição Anterior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Sheet1!$C$28:$C$37</c:f>
              <c:numCache>
                <c:formatCode>0.00</c:formatCode>
                <c:ptCount val="10"/>
                <c:pt idx="0">
                  <c:v>1200</c:v>
                </c:pt>
                <c:pt idx="1">
                  <c:v>1400</c:v>
                </c:pt>
                <c:pt idx="2">
                  <c:v>1600</c:v>
                </c:pt>
                <c:pt idx="3">
                  <c:v>1900</c:v>
                </c:pt>
                <c:pt idx="4">
                  <c:v>2300</c:v>
                </c:pt>
                <c:pt idx="5">
                  <c:v>2800</c:v>
                </c:pt>
                <c:pt idx="6">
                  <c:v>3400</c:v>
                </c:pt>
                <c:pt idx="7">
                  <c:v>4000</c:v>
                </c:pt>
                <c:pt idx="8">
                  <c:v>4800</c:v>
                </c:pt>
                <c:pt idx="9">
                  <c:v>5700</c:v>
                </c:pt>
              </c:numCache>
            </c:numRef>
          </c:xVal>
          <c:yVal>
            <c:numRef>
              <c:f>Sheet1!$D$28:$D$37</c:f>
              <c:numCache>
                <c:formatCode>0.00</c:formatCode>
                <c:ptCount val="10"/>
                <c:pt idx="0">
                  <c:v>0.05</c:v>
                </c:pt>
                <c:pt idx="1">
                  <c:v>0.08</c:v>
                </c:pt>
                <c:pt idx="2">
                  <c:v>0.05</c:v>
                </c:pt>
                <c:pt idx="3">
                  <c:v>-0.04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0.15</c:v>
                </c:pt>
                <c:pt idx="7">
                  <c:v>-0.14000000000000001</c:v>
                </c:pt>
                <c:pt idx="8">
                  <c:v>0.15</c:v>
                </c:pt>
                <c:pt idx="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11-449E-92BB-BACA95E04654}"/>
            </c:ext>
          </c:extLst>
        </c:ser>
        <c:ser>
          <c:idx val="4"/>
          <c:order val="4"/>
          <c:tx>
            <c:v>métrica</c:v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name>Incerteza máxima admissível</c:name>
            <c:spPr>
              <a:ln w="19050" cap="rnd" cmpd="sng">
                <a:solidFill>
                  <a:srgbClr val="FF000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Sheet1!$C$28:$C$37</c:f>
              <c:numCache>
                <c:formatCode>0.00</c:formatCode>
                <c:ptCount val="10"/>
                <c:pt idx="0">
                  <c:v>1200</c:v>
                </c:pt>
                <c:pt idx="1">
                  <c:v>1400</c:v>
                </c:pt>
                <c:pt idx="2">
                  <c:v>1600</c:v>
                </c:pt>
                <c:pt idx="3">
                  <c:v>1900</c:v>
                </c:pt>
                <c:pt idx="4">
                  <c:v>2300</c:v>
                </c:pt>
                <c:pt idx="5">
                  <c:v>2800</c:v>
                </c:pt>
                <c:pt idx="6">
                  <c:v>3400</c:v>
                </c:pt>
                <c:pt idx="7">
                  <c:v>4000</c:v>
                </c:pt>
                <c:pt idx="8">
                  <c:v>4800</c:v>
                </c:pt>
                <c:pt idx="9">
                  <c:v>5700</c:v>
                </c:pt>
              </c:numCache>
            </c:numRef>
          </c:xVal>
          <c:yVal>
            <c:numRef>
              <c:f>Sheet1!$H$28:$H$37</c:f>
              <c:numCache>
                <c:formatCode>0.00</c:formatCode>
                <c:ptCount val="1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11-449E-92BB-BACA95E04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560143"/>
        <c:axId val="972024687"/>
      </c:scatterChart>
      <c:valAx>
        <c:axId val="803560143"/>
        <c:scaling>
          <c:orientation val="minMax"/>
          <c:min val="1000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024687"/>
        <c:crosses val="autoZero"/>
        <c:crossBetween val="midCat"/>
      </c:valAx>
      <c:valAx>
        <c:axId val="9720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3560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580226</xdr:colOff>
      <xdr:row>96</xdr:row>
      <xdr:rowOff>177800</xdr:rowOff>
    </xdr:from>
    <xdr:to>
      <xdr:col>9</xdr:col>
      <xdr:colOff>28575</xdr:colOff>
      <xdr:row>108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CEA1F73-EAAD-457C-BB67-6979DA5E3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578644</xdr:colOff>
      <xdr:row>67</xdr:row>
      <xdr:rowOff>172245</xdr:rowOff>
    </xdr:from>
    <xdr:to>
      <xdr:col>9</xdr:col>
      <xdr:colOff>28575</xdr:colOff>
      <xdr:row>77</xdr:row>
      <xdr:rowOff>304800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91EAA55-36FD-4BBA-AE62-BA14FE21D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569119</xdr:colOff>
      <xdr:row>38</xdr:row>
      <xdr:rowOff>124616</xdr:rowOff>
    </xdr:from>
    <xdr:to>
      <xdr:col>9</xdr:col>
      <xdr:colOff>19050</xdr:colOff>
      <xdr:row>48</xdr:row>
      <xdr:rowOff>219075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07710DF-F8AC-4FCF-B4E1-1BA35841A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116566</xdr:colOff>
      <xdr:row>0</xdr:row>
      <xdr:rowOff>0</xdr:rowOff>
    </xdr:from>
    <xdr:to>
      <xdr:col>8</xdr:col>
      <xdr:colOff>219074</xdr:colOff>
      <xdr:row>0</xdr:row>
      <xdr:rowOff>618490</xdr:rowOff>
    </xdr:to>
    <xdr:sp macro="" textlink="">
      <xdr:nvSpPr>
        <xdr:cNvPr id="2" name="Rectangle 48">
          <a:extLst>
            <a:ext uri="{FF2B5EF4-FFF2-40B4-BE49-F238E27FC236}">
              <a16:creationId xmlns:a16="http://schemas.microsoft.com/office/drawing/2014/main" id="{E9FF4B42-3EBF-407C-AC9D-A78D5F0D5EF3}"/>
            </a:ext>
          </a:extLst>
        </xdr:cNvPr>
        <xdr:cNvSpPr>
          <a:spLocks noChangeArrowheads="1"/>
        </xdr:cNvSpPr>
      </xdr:nvSpPr>
      <xdr:spPr bwMode="auto">
        <a:xfrm>
          <a:off x="726166" y="0"/>
          <a:ext cx="8522608" cy="6184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anchor="ctr" anchorCtr="0">
          <a:noAutofit/>
        </a:bodyPr>
        <a:lstStyle/>
        <a:p>
          <a:pPr fontAlgn="base">
            <a:spcAft>
              <a:spcPts val="0"/>
            </a:spcAft>
          </a:pPr>
          <a:r>
            <a:rPr lang="pt-BR" sz="1400" b="1" kern="1200">
              <a:solidFill>
                <a:srgbClr val="007C86"/>
              </a:solidFill>
              <a:effectLst/>
              <a:latin typeface="Prio" pitchFamily="50" charset="0"/>
              <a:ea typeface="MS PGothic"/>
            </a:rPr>
            <a:t>Análise crítica de calibração  de medidores de vazão fiscal e transferência de custódia</a:t>
          </a:r>
          <a:endParaRPr lang="pt-BR" sz="1200">
            <a:solidFill>
              <a:srgbClr val="007C86"/>
            </a:solidFill>
            <a:effectLst/>
            <a:latin typeface="Prio" pitchFamily="50" charset="0"/>
            <a:ea typeface="Times New Roman"/>
          </a:endParaRPr>
        </a:p>
      </xdr:txBody>
    </xdr:sp>
    <xdr:clientData/>
  </xdr:twoCellAnchor>
  <xdr:twoCellAnchor>
    <xdr:from>
      <xdr:col>1</xdr:col>
      <xdr:colOff>40822</xdr:colOff>
      <xdr:row>0</xdr:row>
      <xdr:rowOff>571500</xdr:rowOff>
    </xdr:from>
    <xdr:to>
      <xdr:col>11</xdr:col>
      <xdr:colOff>933450</xdr:colOff>
      <xdr:row>0</xdr:row>
      <xdr:rowOff>638175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7BDC32CD-F81A-464E-90D6-72D1E7FC2DED}"/>
            </a:ext>
          </a:extLst>
        </xdr:cNvPr>
        <xdr:cNvSpPr>
          <a:spLocks noChangeArrowheads="1"/>
        </xdr:cNvSpPr>
      </xdr:nvSpPr>
      <xdr:spPr bwMode="auto">
        <a:xfrm>
          <a:off x="40822" y="571500"/>
          <a:ext cx="11674928" cy="66675"/>
        </a:xfrm>
        <a:prstGeom prst="rect">
          <a:avLst/>
        </a:prstGeom>
        <a:solidFill>
          <a:srgbClr val="007C8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 editAs="oneCell">
    <xdr:from>
      <xdr:col>10</xdr:col>
      <xdr:colOff>314325</xdr:colOff>
      <xdr:row>0</xdr:row>
      <xdr:rowOff>123825</xdr:rowOff>
    </xdr:from>
    <xdr:to>
      <xdr:col>11</xdr:col>
      <xdr:colOff>787493</xdr:colOff>
      <xdr:row>0</xdr:row>
      <xdr:rowOff>419707</xdr:rowOff>
    </xdr:to>
    <xdr:pic>
      <xdr:nvPicPr>
        <xdr:cNvPr id="4" name="Imagem 6" descr="Logotipo&#10;&#10;Descrição gerada automaticamente">
          <a:extLst>
            <a:ext uri="{FF2B5EF4-FFF2-40B4-BE49-F238E27FC236}">
              <a16:creationId xmlns:a16="http://schemas.microsoft.com/office/drawing/2014/main" id="{D731F7DF-1626-41E7-BACF-BFCF83CF3C94}"/>
            </a:ext>
            <a:ext uri="{147F2762-F138-4A5C-976F-8EAC2B608ADB}">
              <a16:predDERef xmlns:a16="http://schemas.microsoft.com/office/drawing/2014/main" pred="{1E8B6D4B-3367-47DD-9893-CAA4CF86FCEA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1275" y="123825"/>
          <a:ext cx="1371693" cy="2958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14</xdr:row>
      <xdr:rowOff>97762</xdr:rowOff>
    </xdr:from>
    <xdr:to>
      <xdr:col>11</xdr:col>
      <xdr:colOff>532771</xdr:colOff>
      <xdr:row>23</xdr:row>
      <xdr:rowOff>29137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4BE047C-9C7B-BA3F-E5CB-1FC55C0F4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2631412"/>
          <a:ext cx="7038346" cy="1560150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1</xdr:row>
      <xdr:rowOff>104776</xdr:rowOff>
    </xdr:from>
    <xdr:to>
      <xdr:col>12</xdr:col>
      <xdr:colOff>85725</xdr:colOff>
      <xdr:row>13</xdr:row>
      <xdr:rowOff>179204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89A3585-CFA2-F825-A781-DF7359859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00" y="285751"/>
          <a:ext cx="7223125" cy="2246128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23</xdr:row>
      <xdr:rowOff>171450</xdr:rowOff>
    </xdr:from>
    <xdr:to>
      <xdr:col>12</xdr:col>
      <xdr:colOff>521760</xdr:colOff>
      <xdr:row>30</xdr:row>
      <xdr:rowOff>47785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479A41D-8777-D452-BA62-579EFB7D9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4333875"/>
          <a:ext cx="7589310" cy="114316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31</xdr:row>
      <xdr:rowOff>28575</xdr:rowOff>
    </xdr:from>
    <xdr:to>
      <xdr:col>12</xdr:col>
      <xdr:colOff>607519</xdr:colOff>
      <xdr:row>42</xdr:row>
      <xdr:rowOff>19327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6FC23E0-3C6D-F694-3094-C47B43FD9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5" y="5638800"/>
          <a:ext cx="7836994" cy="1981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B1:P148"/>
  <sheetViews>
    <sheetView showGridLines="0" tabSelected="1" topLeftCell="A103" zoomScaleNormal="100" zoomScaleSheetLayoutView="80" workbookViewId="0">
      <selection activeCell="F16" sqref="F16"/>
    </sheetView>
  </sheetViews>
  <sheetFormatPr defaultRowHeight="14.5" outlineLevelRow="1"/>
  <cols>
    <col min="2" max="2" width="20.7265625" customWidth="1"/>
    <col min="3" max="3" width="16.7265625" customWidth="1"/>
    <col min="4" max="4" width="18.90625" bestFit="1" customWidth="1"/>
    <col min="5" max="5" width="15" customWidth="1"/>
    <col min="6" max="6" width="16.54296875" customWidth="1"/>
    <col min="7" max="7" width="15.81640625" customWidth="1"/>
    <col min="8" max="8" width="16.7265625" customWidth="1"/>
    <col min="9" max="9" width="15.81640625" customWidth="1"/>
    <col min="10" max="10" width="14.54296875" customWidth="1"/>
    <col min="11" max="11" width="13.453125" bestFit="1" customWidth="1"/>
    <col min="12" max="12" width="14.1796875" customWidth="1"/>
    <col min="13" max="13" width="8.81640625" customWidth="1"/>
    <col min="29" max="35" width="10.7265625" customWidth="1"/>
  </cols>
  <sheetData>
    <row r="1" spans="2:16" ht="76.5" customHeight="1">
      <c r="B1" s="83" t="s">
        <v>47</v>
      </c>
      <c r="C1" s="83"/>
      <c r="D1" s="83"/>
      <c r="E1" s="83"/>
      <c r="F1" s="83"/>
      <c r="G1" s="83"/>
      <c r="H1" s="83"/>
      <c r="I1" s="83"/>
      <c r="J1" s="83"/>
      <c r="K1" s="83"/>
      <c r="L1" s="83"/>
      <c r="P1" s="9"/>
    </row>
    <row r="2" spans="2:16" ht="17.25" customHeight="1">
      <c r="B2" s="66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2:16">
      <c r="B3" s="66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2:16">
      <c r="B4" s="100" t="str">
        <f>CONCATENATE("Análise Crítica dos Resultados de Calibração - ",H6,)</f>
        <v>Análise Crítica dos Resultados de Calibração - ULTRASSÔNICO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</row>
    <row r="5" spans="2:16" ht="22.5" customHeight="1">
      <c r="B5" s="68" t="s">
        <v>15</v>
      </c>
      <c r="C5" s="1"/>
      <c r="D5" s="1"/>
      <c r="E5" s="1"/>
      <c r="F5" s="1"/>
      <c r="G5" s="1"/>
      <c r="H5" s="1"/>
      <c r="I5" s="1"/>
      <c r="J5" s="1"/>
    </row>
    <row r="6" spans="2:16" s="1" customFormat="1" ht="18.75" customHeight="1">
      <c r="B6" s="58" t="s">
        <v>5</v>
      </c>
      <c r="C6" s="90" t="s">
        <v>55</v>
      </c>
      <c r="D6" s="90"/>
      <c r="E6" s="90"/>
      <c r="F6" s="91" t="s">
        <v>28</v>
      </c>
      <c r="G6" s="91"/>
      <c r="H6" s="90" t="s">
        <v>61</v>
      </c>
      <c r="I6" s="90"/>
      <c r="M6"/>
      <c r="N6"/>
      <c r="O6"/>
    </row>
    <row r="7" spans="2:16" ht="18.75" customHeight="1">
      <c r="B7" s="58" t="s">
        <v>1</v>
      </c>
      <c r="C7" s="90" t="s">
        <v>50</v>
      </c>
      <c r="D7" s="90"/>
      <c r="E7" s="90"/>
      <c r="F7" s="91" t="s">
        <v>9</v>
      </c>
      <c r="G7" s="91"/>
      <c r="H7" s="90" t="s">
        <v>64</v>
      </c>
      <c r="I7" s="90"/>
      <c r="L7" s="1"/>
    </row>
    <row r="8" spans="2:16" ht="18.75" customHeight="1">
      <c r="B8" s="58" t="s">
        <v>6</v>
      </c>
      <c r="C8" s="90" t="s">
        <v>48</v>
      </c>
      <c r="D8" s="90"/>
      <c r="E8" s="90"/>
      <c r="F8" s="91" t="s">
        <v>12</v>
      </c>
      <c r="G8" s="91"/>
      <c r="H8" s="90" t="s">
        <v>51</v>
      </c>
      <c r="I8" s="90"/>
      <c r="L8" s="1"/>
    </row>
    <row r="9" spans="2:16" ht="18.75" customHeight="1">
      <c r="B9" s="58" t="s">
        <v>7</v>
      </c>
      <c r="C9" s="90" t="s">
        <v>56</v>
      </c>
      <c r="D9" s="90"/>
      <c r="E9" s="90"/>
      <c r="F9" s="91" t="s">
        <v>3</v>
      </c>
      <c r="G9" s="91"/>
      <c r="H9" s="89">
        <v>45525</v>
      </c>
      <c r="I9" s="90"/>
      <c r="L9" s="18"/>
    </row>
    <row r="10" spans="2:16" ht="18.75" customHeight="1">
      <c r="B10" s="58" t="s">
        <v>2</v>
      </c>
      <c r="C10" s="90" t="s">
        <v>57</v>
      </c>
      <c r="D10" s="90"/>
      <c r="E10" s="90"/>
      <c r="F10" s="91" t="s">
        <v>8</v>
      </c>
      <c r="G10" s="91"/>
      <c r="H10" s="90" t="s">
        <v>62</v>
      </c>
      <c r="I10" s="90"/>
      <c r="L10" s="18"/>
    </row>
    <row r="11" spans="2:16" ht="18.75" customHeight="1">
      <c r="B11" s="58" t="s">
        <v>11</v>
      </c>
      <c r="C11" s="90" t="s">
        <v>58</v>
      </c>
      <c r="D11" s="90"/>
      <c r="E11" s="90"/>
      <c r="F11" s="91" t="s">
        <v>12</v>
      </c>
      <c r="G11" s="91"/>
      <c r="H11" s="90" t="s">
        <v>51</v>
      </c>
      <c r="I11" s="90"/>
      <c r="K11" s="33"/>
      <c r="L11" s="18"/>
    </row>
    <row r="12" spans="2:16" ht="18.75" customHeight="1">
      <c r="B12" s="58" t="s">
        <v>37</v>
      </c>
      <c r="C12" s="90" t="s">
        <v>59</v>
      </c>
      <c r="D12" s="90"/>
      <c r="E12" s="90"/>
      <c r="F12" s="91" t="s">
        <v>3</v>
      </c>
      <c r="G12" s="91"/>
      <c r="H12" s="89">
        <v>45926</v>
      </c>
      <c r="I12" s="90"/>
      <c r="L12" s="18"/>
    </row>
    <row r="13" spans="2:16" ht="28" customHeight="1">
      <c r="B13" s="71" t="s">
        <v>24</v>
      </c>
      <c r="C13" s="99" t="s">
        <v>60</v>
      </c>
      <c r="D13" s="99"/>
      <c r="E13" s="99"/>
      <c r="F13" s="98" t="s">
        <v>10</v>
      </c>
      <c r="G13" s="98"/>
      <c r="H13" s="97" t="s">
        <v>63</v>
      </c>
      <c r="I13" s="90"/>
      <c r="L13" s="18"/>
    </row>
    <row r="14" spans="2:16" ht="18.75" customHeight="1">
      <c r="B14" s="58" t="s">
        <v>23</v>
      </c>
      <c r="C14" s="90" t="s">
        <v>49</v>
      </c>
      <c r="D14" s="90"/>
      <c r="E14" s="90"/>
      <c r="L14" s="18"/>
    </row>
    <row r="15" spans="2:16" ht="18" customHeight="1">
      <c r="B15" s="67"/>
      <c r="G15" s="18"/>
      <c r="H15" s="18"/>
      <c r="I15" s="15"/>
      <c r="L15" s="18"/>
    </row>
    <row r="16" spans="2:16" ht="21.75" customHeight="1">
      <c r="B16" s="96" t="s">
        <v>27</v>
      </c>
      <c r="C16" s="96"/>
      <c r="D16" s="96"/>
      <c r="E16" s="96"/>
      <c r="F16" s="34"/>
      <c r="G16" s="35"/>
      <c r="H16" s="36"/>
      <c r="I16" s="1" t="str">
        <f>IF(H16=0,"",(E16))</f>
        <v/>
      </c>
      <c r="J16" s="18"/>
    </row>
    <row r="17" spans="2:16" ht="21.75" customHeight="1">
      <c r="B17" s="72"/>
      <c r="C17" s="7" t="s">
        <v>52</v>
      </c>
      <c r="D17" s="44">
        <v>0.2</v>
      </c>
      <c r="E17" s="62" t="s">
        <v>17</v>
      </c>
      <c r="F17" s="34"/>
      <c r="G17" s="37"/>
      <c r="H17" s="36"/>
      <c r="I17" s="1" t="str">
        <f>IF(H17=0,"",(E16))</f>
        <v/>
      </c>
      <c r="J17" s="1"/>
    </row>
    <row r="18" spans="2:16" ht="21.75" customHeight="1">
      <c r="B18" s="85" t="s">
        <v>33</v>
      </c>
      <c r="C18" s="85"/>
      <c r="D18" s="44">
        <v>0.05</v>
      </c>
      <c r="E18" s="62" t="s">
        <v>17</v>
      </c>
      <c r="F18" s="34"/>
      <c r="G18" s="37"/>
      <c r="H18" s="36"/>
      <c r="I18" s="1"/>
      <c r="J18" s="1"/>
    </row>
    <row r="19" spans="2:16" ht="21.75" customHeight="1">
      <c r="B19" s="85" t="s">
        <v>38</v>
      </c>
      <c r="C19" s="85"/>
      <c r="D19" s="44">
        <v>0.25</v>
      </c>
      <c r="E19" s="63" t="s">
        <v>17</v>
      </c>
      <c r="F19" s="34"/>
      <c r="G19" s="34"/>
      <c r="H19" s="38"/>
      <c r="I19" s="1"/>
      <c r="J19" s="1"/>
    </row>
    <row r="20" spans="2:16" ht="18" hidden="1" customHeight="1">
      <c r="B20" s="67"/>
      <c r="J20" s="1"/>
    </row>
    <row r="21" spans="2:16" ht="20.25" hidden="1" customHeight="1">
      <c r="B21" s="88" t="s">
        <v>25</v>
      </c>
      <c r="C21" s="88"/>
      <c r="D21" s="88"/>
      <c r="E21" s="88"/>
      <c r="F21" s="88"/>
      <c r="G21" s="88"/>
      <c r="H21" s="88"/>
      <c r="I21" s="88"/>
    </row>
    <row r="22" spans="2:16" ht="20.25" hidden="1" customHeight="1">
      <c r="B22" s="88" t="s">
        <v>26</v>
      </c>
      <c r="C22" s="88"/>
      <c r="D22" s="88"/>
      <c r="E22" s="88"/>
      <c r="F22" s="88"/>
      <c r="G22" s="88"/>
      <c r="H22" s="88"/>
      <c r="I22" s="88"/>
      <c r="J22" s="13"/>
      <c r="O22" s="52"/>
      <c r="P22" s="52" t="s">
        <v>21</v>
      </c>
    </row>
    <row r="23" spans="2:16" ht="30" customHeight="1">
      <c r="B23" s="68" t="s">
        <v>16</v>
      </c>
      <c r="C23" s="1"/>
      <c r="D23" s="1"/>
      <c r="E23" s="1"/>
      <c r="F23" s="1"/>
      <c r="G23" s="1"/>
      <c r="H23" s="1"/>
      <c r="I23" s="1"/>
      <c r="J23" s="1"/>
      <c r="K23" s="1"/>
      <c r="O23" s="52"/>
      <c r="P23" s="52" t="s">
        <v>22</v>
      </c>
    </row>
    <row r="24" spans="2:16" s="1" customFormat="1" ht="30" customHeight="1">
      <c r="B24" s="68" t="s">
        <v>54</v>
      </c>
      <c r="F24" s="2"/>
      <c r="G24" s="2"/>
      <c r="M24"/>
      <c r="N24"/>
      <c r="O24"/>
    </row>
    <row r="25" spans="2:16" s="1" customFormat="1" ht="19.5" customHeight="1">
      <c r="B25" s="68"/>
      <c r="F25" s="2"/>
      <c r="G25" s="2"/>
      <c r="H25" s="14"/>
      <c r="M25"/>
      <c r="N25"/>
      <c r="O25"/>
    </row>
    <row r="26" spans="2:16" s="1" customFormat="1" ht="30" customHeight="1" outlineLevel="1">
      <c r="B26" s="24" t="s">
        <v>44</v>
      </c>
      <c r="C26" s="55" t="s">
        <v>14</v>
      </c>
      <c r="D26" s="55" t="s">
        <v>42</v>
      </c>
      <c r="E26" s="55" t="s">
        <v>43</v>
      </c>
      <c r="F26" s="55" t="s">
        <v>40</v>
      </c>
      <c r="G26" s="55" t="s">
        <v>41</v>
      </c>
      <c r="H26" s="27" t="s">
        <v>45</v>
      </c>
      <c r="I26" s="84" t="s">
        <v>18</v>
      </c>
      <c r="M26"/>
      <c r="N26"/>
      <c r="O26"/>
    </row>
    <row r="27" spans="2:16" ht="12" customHeight="1" outlineLevel="1">
      <c r="B27" s="86" t="str">
        <f>CONCATENATE(C11, " ", C14,    "        ", C12," ", D12)</f>
        <v xml:space="preserve">1200 m³/h a 5700 m³/h SI        105,2 kPa </v>
      </c>
      <c r="C27" s="28" t="str">
        <f>$C$14</f>
        <v>SI</v>
      </c>
      <c r="D27" s="55" t="str">
        <f>E17</f>
        <v>%</v>
      </c>
      <c r="E27" s="55" t="s">
        <v>17</v>
      </c>
      <c r="F27" s="55" t="str">
        <f>D27</f>
        <v>%</v>
      </c>
      <c r="G27" s="55" t="s">
        <v>17</v>
      </c>
      <c r="H27" s="27"/>
      <c r="I27" s="84"/>
      <c r="J27" s="14"/>
    </row>
    <row r="28" spans="2:16" s="47" customFormat="1" ht="18" customHeight="1" outlineLevel="1">
      <c r="B28" s="86"/>
      <c r="C28" s="44">
        <v>1200</v>
      </c>
      <c r="D28" s="44">
        <v>0.05</v>
      </c>
      <c r="E28" s="44">
        <v>0.06</v>
      </c>
      <c r="F28" s="44">
        <v>0.12</v>
      </c>
      <c r="G28" s="44">
        <v>0.09</v>
      </c>
      <c r="H28" s="44">
        <f>$D$17</f>
        <v>0.2</v>
      </c>
      <c r="I28" s="26" t="str">
        <f t="shared" ref="I28:I37" si="0">IF(G28="","",IF(G28&lt;=$D$17,"APROVADO","REPROVADO"))</f>
        <v>APROVADO</v>
      </c>
      <c r="J28" s="48"/>
      <c r="K28" s="39"/>
      <c r="L28" s="39"/>
    </row>
    <row r="29" spans="2:16" s="47" customFormat="1" ht="18" customHeight="1" outlineLevel="1">
      <c r="B29" s="86"/>
      <c r="C29" s="44">
        <v>1400</v>
      </c>
      <c r="D29" s="44">
        <v>0.08</v>
      </c>
      <c r="E29" s="44">
        <v>0.05</v>
      </c>
      <c r="F29" s="44">
        <v>0.12</v>
      </c>
      <c r="G29" s="44">
        <v>0.09</v>
      </c>
      <c r="H29" s="44">
        <f t="shared" ref="H29:H37" si="1">$D$17</f>
        <v>0.2</v>
      </c>
      <c r="I29" s="26" t="str">
        <f t="shared" si="0"/>
        <v>APROVADO</v>
      </c>
      <c r="J29" s="49"/>
      <c r="K29" s="49"/>
      <c r="L29" s="50"/>
    </row>
    <row r="30" spans="2:16" s="47" customFormat="1" ht="18" customHeight="1" outlineLevel="1">
      <c r="B30" s="86"/>
      <c r="C30" s="44">
        <v>1600</v>
      </c>
      <c r="D30" s="44">
        <v>0.05</v>
      </c>
      <c r="E30" s="44">
        <v>-0.02</v>
      </c>
      <c r="F30" s="44">
        <v>0.11</v>
      </c>
      <c r="G30" s="44">
        <v>0.09</v>
      </c>
      <c r="H30" s="44">
        <f t="shared" si="1"/>
        <v>0.2</v>
      </c>
      <c r="I30" s="26" t="str">
        <f t="shared" si="0"/>
        <v>APROVADO</v>
      </c>
      <c r="J30" s="49"/>
      <c r="K30" s="49"/>
      <c r="L30" s="50"/>
    </row>
    <row r="31" spans="2:16" s="47" customFormat="1" ht="18" customHeight="1" outlineLevel="1">
      <c r="B31" s="86"/>
      <c r="C31" s="44">
        <v>1900</v>
      </c>
      <c r="D31" s="44">
        <v>-0.04</v>
      </c>
      <c r="E31" s="44">
        <v>0.03</v>
      </c>
      <c r="F31" s="44">
        <v>0.11</v>
      </c>
      <c r="G31" s="44">
        <v>0.09</v>
      </c>
      <c r="H31" s="44">
        <f t="shared" si="1"/>
        <v>0.2</v>
      </c>
      <c r="I31" s="26" t="str">
        <f t="shared" si="0"/>
        <v>APROVADO</v>
      </c>
      <c r="J31" s="49"/>
      <c r="K31" s="49"/>
      <c r="L31" s="50"/>
    </row>
    <row r="32" spans="2:16" s="47" customFormat="1" ht="18" customHeight="1" outlineLevel="1">
      <c r="B32" s="86"/>
      <c r="C32" s="44">
        <v>2300</v>
      </c>
      <c r="D32" s="44">
        <v>7.0000000000000007E-2</v>
      </c>
      <c r="E32" s="44">
        <v>0.08</v>
      </c>
      <c r="F32" s="44">
        <v>0.11</v>
      </c>
      <c r="G32" s="44">
        <v>0.09</v>
      </c>
      <c r="H32" s="44">
        <f t="shared" si="1"/>
        <v>0.2</v>
      </c>
      <c r="I32" s="26" t="str">
        <f t="shared" si="0"/>
        <v>APROVADO</v>
      </c>
      <c r="J32" s="49"/>
      <c r="K32" s="49"/>
      <c r="L32" s="50"/>
    </row>
    <row r="33" spans="2:12" s="47" customFormat="1" ht="18" customHeight="1" outlineLevel="1">
      <c r="B33" s="86"/>
      <c r="C33" s="44">
        <v>2800</v>
      </c>
      <c r="D33" s="44">
        <v>0.06</v>
      </c>
      <c r="E33" s="44">
        <v>7.0000000000000007E-2</v>
      </c>
      <c r="F33" s="44">
        <v>0.11</v>
      </c>
      <c r="G33" s="44">
        <v>0.09</v>
      </c>
      <c r="H33" s="44">
        <f t="shared" si="1"/>
        <v>0.2</v>
      </c>
      <c r="I33" s="26" t="str">
        <f t="shared" si="0"/>
        <v>APROVADO</v>
      </c>
      <c r="J33" s="49"/>
      <c r="K33" s="49"/>
      <c r="L33" s="50"/>
    </row>
    <row r="34" spans="2:12" s="47" customFormat="1" ht="18" customHeight="1" outlineLevel="1">
      <c r="B34" s="86"/>
      <c r="C34" s="44">
        <v>3400</v>
      </c>
      <c r="D34" s="44">
        <v>0.15</v>
      </c>
      <c r="E34" s="44">
        <v>0.02</v>
      </c>
      <c r="F34" s="44">
        <v>0.11</v>
      </c>
      <c r="G34" s="44">
        <v>0.09</v>
      </c>
      <c r="H34" s="44">
        <f t="shared" si="1"/>
        <v>0.2</v>
      </c>
      <c r="I34" s="26" t="str">
        <f t="shared" si="0"/>
        <v>APROVADO</v>
      </c>
      <c r="J34" s="49"/>
      <c r="K34" s="49"/>
      <c r="L34" s="50"/>
    </row>
    <row r="35" spans="2:12" s="47" customFormat="1" ht="18" customHeight="1" outlineLevel="1">
      <c r="B35" s="86"/>
      <c r="C35" s="44">
        <v>4000</v>
      </c>
      <c r="D35" s="44">
        <v>-0.14000000000000001</v>
      </c>
      <c r="E35" s="44">
        <v>0.01</v>
      </c>
      <c r="F35" s="44">
        <v>0.11</v>
      </c>
      <c r="G35" s="44">
        <v>0.09</v>
      </c>
      <c r="H35" s="44">
        <f t="shared" si="1"/>
        <v>0.2</v>
      </c>
      <c r="I35" s="26" t="str">
        <f t="shared" si="0"/>
        <v>APROVADO</v>
      </c>
      <c r="J35" s="49"/>
      <c r="K35" s="49"/>
      <c r="L35" s="50"/>
    </row>
    <row r="36" spans="2:12" s="47" customFormat="1" ht="18" customHeight="1" outlineLevel="1">
      <c r="B36" s="86"/>
      <c r="C36" s="44">
        <v>4800</v>
      </c>
      <c r="D36" s="44">
        <v>0.15</v>
      </c>
      <c r="E36" s="44">
        <v>7.0000000000000007E-2</v>
      </c>
      <c r="F36" s="44">
        <v>0.12</v>
      </c>
      <c r="G36" s="44">
        <v>0.12</v>
      </c>
      <c r="H36" s="44">
        <f t="shared" si="1"/>
        <v>0.2</v>
      </c>
      <c r="I36" s="26" t="str">
        <f t="shared" si="0"/>
        <v>APROVADO</v>
      </c>
      <c r="J36" s="49"/>
      <c r="K36" s="49"/>
      <c r="L36" s="50"/>
    </row>
    <row r="37" spans="2:12" s="47" customFormat="1" ht="18" customHeight="1" outlineLevel="1">
      <c r="B37" s="86"/>
      <c r="C37" s="44">
        <v>5700</v>
      </c>
      <c r="D37" s="44">
        <v>0.1</v>
      </c>
      <c r="E37" s="44">
        <v>7.0000000000000007E-2</v>
      </c>
      <c r="F37" s="44">
        <v>0.12</v>
      </c>
      <c r="G37" s="44">
        <v>0.12</v>
      </c>
      <c r="H37" s="44">
        <f t="shared" si="1"/>
        <v>0.2</v>
      </c>
      <c r="I37" s="26" t="str">
        <f t="shared" si="0"/>
        <v>APROVADO</v>
      </c>
      <c r="J37" s="49"/>
      <c r="K37" s="49"/>
      <c r="L37" s="50"/>
    </row>
    <row r="38" spans="2:12" s="47" customFormat="1" ht="18" customHeight="1" outlineLevel="1"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50"/>
    </row>
    <row r="39" spans="2:12" ht="30" customHeight="1" outlineLevel="1">
      <c r="B39" s="67"/>
      <c r="C39" s="61"/>
      <c r="D39" s="14"/>
      <c r="E39" s="14"/>
      <c r="F39" s="14"/>
      <c r="G39" s="14"/>
      <c r="H39" s="14"/>
      <c r="I39" s="14"/>
      <c r="J39" s="19"/>
      <c r="K39" s="19"/>
      <c r="L39" s="40"/>
    </row>
    <row r="40" spans="2:12" ht="30" customHeight="1">
      <c r="B40" s="67"/>
      <c r="C40" s="61"/>
      <c r="D40" s="14"/>
      <c r="E40" s="14"/>
      <c r="F40" s="14"/>
      <c r="G40" s="14"/>
      <c r="H40" s="14"/>
      <c r="I40" s="14"/>
    </row>
    <row r="41" spans="2:12" ht="30" customHeight="1">
      <c r="B41" s="67"/>
      <c r="C41" s="61"/>
      <c r="D41" s="14"/>
      <c r="E41" s="14"/>
      <c r="F41" s="14"/>
      <c r="G41" s="14"/>
      <c r="H41" s="14"/>
      <c r="I41" s="14"/>
    </row>
    <row r="42" spans="2:12" ht="24.75" customHeight="1">
      <c r="B42" s="67"/>
      <c r="C42" s="61"/>
      <c r="D42" s="14"/>
      <c r="E42" s="14"/>
      <c r="F42" s="14"/>
      <c r="G42" s="14"/>
      <c r="H42" s="14"/>
      <c r="I42" s="14"/>
    </row>
    <row r="43" spans="2:12" ht="24.75" customHeight="1">
      <c r="B43" s="67"/>
      <c r="C43" s="61"/>
      <c r="D43" s="14"/>
      <c r="E43" s="14"/>
      <c r="F43" s="14"/>
      <c r="G43" s="14"/>
      <c r="H43" s="14"/>
      <c r="I43" s="14"/>
    </row>
    <row r="44" spans="2:12" ht="24.75" customHeight="1">
      <c r="B44" s="67"/>
      <c r="C44" s="14"/>
      <c r="D44" s="14"/>
      <c r="E44" s="14"/>
      <c r="F44" s="14"/>
      <c r="G44" s="14"/>
      <c r="H44" s="14"/>
      <c r="I44" s="14"/>
    </row>
    <row r="45" spans="2:12" ht="24.75" customHeight="1">
      <c r="B45" s="67"/>
      <c r="C45" s="14"/>
      <c r="D45" s="14"/>
      <c r="E45" s="14"/>
      <c r="F45" s="14"/>
      <c r="G45" s="14"/>
      <c r="H45" s="14"/>
      <c r="I45" s="14"/>
    </row>
    <row r="46" spans="2:12" ht="24.75" customHeight="1">
      <c r="B46" s="67"/>
      <c r="C46" s="14"/>
      <c r="D46" s="14"/>
      <c r="E46" s="14"/>
      <c r="F46" s="14"/>
      <c r="G46" s="14"/>
      <c r="H46" s="14"/>
      <c r="I46" s="14"/>
    </row>
    <row r="47" spans="2:12" ht="24.75" customHeight="1">
      <c r="B47" s="67"/>
      <c r="C47" s="14"/>
      <c r="D47" s="14"/>
      <c r="E47" s="14"/>
      <c r="F47" s="14"/>
      <c r="G47" s="14"/>
      <c r="H47" s="14"/>
      <c r="I47" s="14"/>
    </row>
    <row r="48" spans="2:12" ht="24.75" customHeight="1">
      <c r="B48" s="67"/>
      <c r="C48" s="14"/>
      <c r="D48" s="14"/>
      <c r="E48" s="14"/>
      <c r="F48" s="14"/>
      <c r="G48" s="14"/>
      <c r="H48" s="14"/>
      <c r="I48" s="14"/>
    </row>
    <row r="49" spans="2:9" ht="24.5" customHeight="1">
      <c r="B49" s="67"/>
      <c r="C49" s="14"/>
      <c r="D49" s="14"/>
      <c r="E49" s="14"/>
      <c r="F49" s="14"/>
      <c r="G49" s="14"/>
      <c r="H49" s="14"/>
      <c r="I49" s="14"/>
    </row>
    <row r="50" spans="2:9" ht="24.5" customHeight="1">
      <c r="B50" s="67"/>
      <c r="C50" s="61"/>
      <c r="D50" s="61"/>
      <c r="E50" s="61"/>
      <c r="F50" s="61"/>
      <c r="G50" s="61"/>
      <c r="H50" s="61"/>
      <c r="I50" s="61"/>
    </row>
    <row r="51" spans="2:9">
      <c r="B51" s="68" t="s">
        <v>29</v>
      </c>
      <c r="C51" s="1"/>
      <c r="D51" s="1"/>
      <c r="E51" s="1"/>
      <c r="F51" s="2"/>
    </row>
    <row r="52" spans="2:9" ht="24.75" customHeight="1">
      <c r="B52" s="68"/>
      <c r="C52" s="1"/>
      <c r="D52" s="1"/>
      <c r="E52" s="1"/>
      <c r="F52" s="2"/>
    </row>
    <row r="53" spans="2:9" s="10" customFormat="1" ht="24.75" customHeight="1">
      <c r="B53" s="53" t="s">
        <v>20</v>
      </c>
      <c r="C53" s="57" t="s">
        <v>21</v>
      </c>
      <c r="D53" s="20"/>
      <c r="E53" s="20"/>
      <c r="F53" s="20"/>
      <c r="G53" s="60" t="s">
        <v>19</v>
      </c>
      <c r="H53" s="87" t="str">
        <f>IF(C53="NÃO","NÃO SE APLICA","NECESSITA DE ANÁLISE")</f>
        <v>NECESSITA DE ANÁLISE</v>
      </c>
      <c r="I53" s="87"/>
    </row>
    <row r="54" spans="2:9" ht="24.75" customHeight="1" outlineLevel="1">
      <c r="B54" s="24" t="str">
        <f>B26</f>
        <v>Falixa Calibrada</v>
      </c>
      <c r="C54" s="55" t="s">
        <v>14</v>
      </c>
      <c r="D54" s="55" t="s">
        <v>30</v>
      </c>
      <c r="E54" s="55" t="s">
        <v>31</v>
      </c>
      <c r="F54" s="55" t="s">
        <v>39</v>
      </c>
      <c r="G54" s="55" t="s">
        <v>32</v>
      </c>
      <c r="H54" s="84" t="s">
        <v>0</v>
      </c>
      <c r="I54" s="84"/>
    </row>
    <row r="55" spans="2:9" ht="13.5" customHeight="1" outlineLevel="1">
      <c r="B55" s="86" t="str">
        <f>$B$27</f>
        <v xml:space="preserve">1200 m³/h a 5700 m³/h SI        105,2 kPa </v>
      </c>
      <c r="C55" s="56" t="str">
        <f>C27</f>
        <v>SI</v>
      </c>
      <c r="D55" s="56" t="s">
        <v>13</v>
      </c>
      <c r="E55" s="56" t="s">
        <v>13</v>
      </c>
      <c r="F55" s="25" t="s">
        <v>13</v>
      </c>
      <c r="G55" s="56" t="s">
        <v>13</v>
      </c>
      <c r="H55" s="86" t="s">
        <v>13</v>
      </c>
      <c r="I55" s="86"/>
    </row>
    <row r="56" spans="2:9" s="10" customFormat="1" ht="18.75" customHeight="1" outlineLevel="1">
      <c r="B56" s="86"/>
      <c r="C56" s="29">
        <f>C28</f>
        <v>1200</v>
      </c>
      <c r="D56" s="30">
        <v>0.99946999999999997</v>
      </c>
      <c r="E56" s="30">
        <v>0.99939</v>
      </c>
      <c r="F56" s="31">
        <f>IF(D56=0,"",ABS(D56-E56))</f>
        <v>7.9999999999968985E-5</v>
      </c>
      <c r="G56" s="102">
        <f>$D$19/100</f>
        <v>2.5000000000000001E-3</v>
      </c>
      <c r="H56" s="64">
        <f>(E56-D56)/D56</f>
        <v>-8.0042422483885445E-5</v>
      </c>
      <c r="I56" s="32" t="str">
        <f t="shared" ref="I56:I65" si="2">IF(AND(D56=0,E56=0),"",IF(G56&lt;=0,"APROVADO",IF(F56&lt;=G56,"APROVADO","REPROVADO")))</f>
        <v>APROVADO</v>
      </c>
    </row>
    <row r="57" spans="2:9" s="10" customFormat="1" ht="18" customHeight="1" outlineLevel="1">
      <c r="B57" s="86"/>
      <c r="C57" s="29">
        <f>C29</f>
        <v>1400</v>
      </c>
      <c r="D57" s="30">
        <v>0.99924000000000002</v>
      </c>
      <c r="E57" s="30">
        <v>0.99946000000000002</v>
      </c>
      <c r="F57" s="31">
        <f t="shared" ref="F57:F65" si="3">IF(D57=0,"",ABS(D57-E57))</f>
        <v>2.1999999999999797E-4</v>
      </c>
      <c r="G57" s="102">
        <f t="shared" ref="G57:G65" si="4">$D$19/100</f>
        <v>2.5000000000000001E-3</v>
      </c>
      <c r="H57" s="64">
        <f t="shared" ref="H57:H65" si="5">(E57-D57)/D57</f>
        <v>2.2016732716864613E-4</v>
      </c>
      <c r="I57" s="32" t="str">
        <f t="shared" si="2"/>
        <v>APROVADO</v>
      </c>
    </row>
    <row r="58" spans="2:9" s="10" customFormat="1" ht="18" customHeight="1" outlineLevel="1">
      <c r="B58" s="86"/>
      <c r="C58" s="29">
        <f>C30</f>
        <v>1600</v>
      </c>
      <c r="D58" s="30">
        <v>0.99953000000000003</v>
      </c>
      <c r="E58" s="30">
        <v>1.00023</v>
      </c>
      <c r="F58" s="31">
        <f t="shared" si="3"/>
        <v>6.9999999999992291E-4</v>
      </c>
      <c r="G58" s="102">
        <f t="shared" si="4"/>
        <v>2.5000000000000001E-3</v>
      </c>
      <c r="H58" s="64">
        <f t="shared" si="5"/>
        <v>7.0032915470263316E-4</v>
      </c>
      <c r="I58" s="32" t="str">
        <f t="shared" si="2"/>
        <v>APROVADO</v>
      </c>
    </row>
    <row r="59" spans="2:9" s="10" customFormat="1" ht="18" customHeight="1" outlineLevel="1">
      <c r="B59" s="86"/>
      <c r="C59" s="29">
        <f>C31</f>
        <v>1900</v>
      </c>
      <c r="D59" s="30">
        <v>1.0004299999999999</v>
      </c>
      <c r="E59" s="30">
        <v>0.99965000000000004</v>
      </c>
      <c r="F59" s="31">
        <f t="shared" si="3"/>
        <v>7.7999999999989189E-4</v>
      </c>
      <c r="G59" s="102">
        <f t="shared" si="4"/>
        <v>2.5000000000000001E-3</v>
      </c>
      <c r="H59" s="64">
        <f t="shared" si="5"/>
        <v>-7.7966474415990319E-4</v>
      </c>
      <c r="I59" s="32" t="str">
        <f t="shared" si="2"/>
        <v>APROVADO</v>
      </c>
    </row>
    <row r="60" spans="2:9" s="10" customFormat="1" ht="18" customHeight="1" outlineLevel="1">
      <c r="B60" s="86"/>
      <c r="C60" s="29">
        <f>C32</f>
        <v>2300</v>
      </c>
      <c r="D60" s="30">
        <v>0.99933000000000005</v>
      </c>
      <c r="E60" s="30">
        <v>0.99917</v>
      </c>
      <c r="F60" s="31">
        <f t="shared" si="3"/>
        <v>1.6000000000004899E-4</v>
      </c>
      <c r="G60" s="102">
        <f t="shared" si="4"/>
        <v>2.5000000000000001E-3</v>
      </c>
      <c r="H60" s="64">
        <f t="shared" si="5"/>
        <v>-1.6010727187220337E-4</v>
      </c>
      <c r="I60" s="32" t="str">
        <f t="shared" si="2"/>
        <v>APROVADO</v>
      </c>
    </row>
    <row r="61" spans="2:9" s="10" customFormat="1" ht="18" customHeight="1" outlineLevel="1">
      <c r="B61" s="86"/>
      <c r="C61" s="29">
        <f>C33</f>
        <v>2800</v>
      </c>
      <c r="D61" s="30">
        <v>0.99939999999999996</v>
      </c>
      <c r="E61" s="30">
        <v>0.99931999999999999</v>
      </c>
      <c r="F61" s="31">
        <f t="shared" si="3"/>
        <v>7.9999999999968985E-5</v>
      </c>
      <c r="G61" s="102">
        <f t="shared" si="4"/>
        <v>2.5000000000000001E-3</v>
      </c>
      <c r="H61" s="64">
        <f t="shared" si="5"/>
        <v>-8.0048028817259346E-5</v>
      </c>
      <c r="I61" s="32" t="str">
        <f t="shared" si="2"/>
        <v>APROVADO</v>
      </c>
    </row>
    <row r="62" spans="2:9" s="10" customFormat="1" ht="18" customHeight="1" outlineLevel="1">
      <c r="B62" s="86"/>
      <c r="C62" s="29">
        <f>C34</f>
        <v>3400</v>
      </c>
      <c r="D62" s="30">
        <v>0.99850000000000005</v>
      </c>
      <c r="E62" s="30">
        <v>0.99978</v>
      </c>
      <c r="F62" s="31">
        <f t="shared" si="3"/>
        <v>1.2799999999999478E-3</v>
      </c>
      <c r="G62" s="102">
        <f t="shared" si="4"/>
        <v>2.5000000000000001E-3</v>
      </c>
      <c r="H62" s="64">
        <f t="shared" si="5"/>
        <v>1.2819228843264374E-3</v>
      </c>
      <c r="I62" s="32" t="str">
        <f t="shared" si="2"/>
        <v>APROVADO</v>
      </c>
    </row>
    <row r="63" spans="2:9" s="10" customFormat="1" ht="18" customHeight="1" outlineLevel="1">
      <c r="B63" s="86"/>
      <c r="C63" s="29">
        <f>C35</f>
        <v>4000</v>
      </c>
      <c r="D63" s="30">
        <v>1.0014000000000001</v>
      </c>
      <c r="E63" s="30">
        <v>0.99985000000000002</v>
      </c>
      <c r="F63" s="31">
        <f t="shared" si="3"/>
        <v>1.5500000000000513E-3</v>
      </c>
      <c r="G63" s="102">
        <f t="shared" si="4"/>
        <v>2.5000000000000001E-3</v>
      </c>
      <c r="H63" s="64">
        <f t="shared" si="5"/>
        <v>-1.5478330337527974E-3</v>
      </c>
      <c r="I63" s="32" t="str">
        <f t="shared" si="2"/>
        <v>APROVADO</v>
      </c>
    </row>
    <row r="64" spans="2:9" s="10" customFormat="1" ht="18" customHeight="1" outlineLevel="1">
      <c r="B64" s="86"/>
      <c r="C64" s="29">
        <f>C36</f>
        <v>4800</v>
      </c>
      <c r="D64" s="30">
        <v>0.99848000000000003</v>
      </c>
      <c r="E64" s="30">
        <v>0.99926999999999999</v>
      </c>
      <c r="F64" s="31">
        <f t="shared" si="3"/>
        <v>7.899999999999574E-4</v>
      </c>
      <c r="G64" s="102">
        <f t="shared" si="4"/>
        <v>2.5000000000000001E-3</v>
      </c>
      <c r="H64" s="64">
        <f t="shared" si="5"/>
        <v>7.9120262799450901E-4</v>
      </c>
      <c r="I64" s="32" t="str">
        <f t="shared" si="2"/>
        <v>APROVADO</v>
      </c>
    </row>
    <row r="65" spans="2:9" s="10" customFormat="1" ht="18" customHeight="1" outlineLevel="1">
      <c r="B65" s="86"/>
      <c r="C65" s="29">
        <f>C37</f>
        <v>5700</v>
      </c>
      <c r="D65" s="30">
        <v>0.999</v>
      </c>
      <c r="E65" s="30">
        <v>0.99929999999999997</v>
      </c>
      <c r="F65" s="31">
        <f t="shared" si="3"/>
        <v>2.9999999999996696E-4</v>
      </c>
      <c r="G65" s="102">
        <f t="shared" si="4"/>
        <v>2.5000000000000001E-3</v>
      </c>
      <c r="H65" s="64">
        <f t="shared" si="5"/>
        <v>3.0030030030026722E-4</v>
      </c>
      <c r="I65" s="32" t="str">
        <f t="shared" si="2"/>
        <v>APROVADO</v>
      </c>
    </row>
    <row r="66" spans="2:9" s="10" customFormat="1" ht="18" customHeight="1" outlineLevel="1">
      <c r="B66" s="69"/>
      <c r="G66" s="74"/>
      <c r="H66" s="75"/>
      <c r="I66" s="76"/>
    </row>
    <row r="67" spans="2:9" s="10" customFormat="1" ht="18" customHeight="1" outlineLevel="1">
      <c r="B67" s="69"/>
      <c r="G67" s="74"/>
      <c r="H67" s="75"/>
      <c r="I67" s="76"/>
    </row>
    <row r="68" spans="2:9" ht="24.75" customHeight="1" outlineLevel="1">
      <c r="B68" s="51"/>
      <c r="C68" s="41"/>
      <c r="D68" s="42"/>
      <c r="E68" s="42"/>
      <c r="F68" s="42"/>
      <c r="G68" s="43"/>
      <c r="H68" s="16"/>
      <c r="I68" s="16"/>
    </row>
    <row r="69" spans="2:9" outlineLevel="1">
      <c r="B69" s="69"/>
      <c r="C69" s="41"/>
      <c r="D69" s="42"/>
      <c r="E69" s="42"/>
      <c r="F69" s="42"/>
      <c r="G69" s="43"/>
      <c r="H69" s="16"/>
      <c r="I69" s="16"/>
    </row>
    <row r="70" spans="2:9" ht="30.75" customHeight="1" outlineLevel="1">
      <c r="B70" s="69"/>
      <c r="C70" s="41"/>
      <c r="D70" s="42"/>
      <c r="E70" s="42"/>
      <c r="F70" s="42"/>
      <c r="G70" s="43"/>
      <c r="H70" s="16"/>
      <c r="I70" s="16"/>
    </row>
    <row r="71" spans="2:9" ht="30.75" customHeight="1" outlineLevel="1">
      <c r="B71" s="69"/>
      <c r="C71" s="41"/>
      <c r="D71" s="42"/>
      <c r="E71" s="42"/>
      <c r="F71" s="42"/>
      <c r="G71" s="43"/>
      <c r="H71" s="16"/>
      <c r="I71" s="16"/>
    </row>
    <row r="72" spans="2:9" ht="30.75" customHeight="1" outlineLevel="1">
      <c r="B72" s="69"/>
      <c r="C72" s="41"/>
      <c r="D72" s="42"/>
      <c r="E72" s="42"/>
      <c r="F72" s="42"/>
      <c r="G72" s="43"/>
      <c r="H72" s="16"/>
      <c r="I72" s="16"/>
    </row>
    <row r="73" spans="2:9" ht="30.75" customHeight="1" outlineLevel="1">
      <c r="B73" s="69"/>
      <c r="C73" s="41"/>
      <c r="D73" s="42"/>
      <c r="E73" s="42"/>
      <c r="F73" s="42"/>
      <c r="G73" s="43"/>
      <c r="H73" s="16"/>
      <c r="I73" s="16"/>
    </row>
    <row r="74" spans="2:9" ht="30.75" customHeight="1" outlineLevel="1">
      <c r="B74" s="69"/>
      <c r="C74" s="41"/>
      <c r="D74" s="42"/>
      <c r="E74" s="42"/>
      <c r="F74" s="42"/>
      <c r="G74" s="43"/>
      <c r="H74" s="16"/>
      <c r="I74" s="16"/>
    </row>
    <row r="75" spans="2:9" ht="30.75" customHeight="1" outlineLevel="1">
      <c r="B75" s="69"/>
      <c r="C75" s="41"/>
      <c r="D75" s="42"/>
      <c r="E75" s="42"/>
      <c r="F75" s="42"/>
      <c r="G75" s="43"/>
      <c r="H75" s="16"/>
      <c r="I75" s="16"/>
    </row>
    <row r="76" spans="2:9" ht="30.75" customHeight="1" outlineLevel="1">
      <c r="B76" s="69"/>
      <c r="C76" s="41"/>
      <c r="D76" s="42"/>
      <c r="E76" s="42"/>
      <c r="F76" s="42"/>
      <c r="G76" s="43"/>
      <c r="H76" s="16"/>
      <c r="I76" s="16"/>
    </row>
    <row r="77" spans="2:9" ht="30.75" customHeight="1" outlineLevel="1">
      <c r="B77" s="69"/>
      <c r="C77" s="41"/>
      <c r="D77" s="42"/>
      <c r="E77" s="42"/>
      <c r="F77" s="42"/>
      <c r="G77" s="43"/>
      <c r="H77" s="16"/>
      <c r="I77" s="16"/>
    </row>
    <row r="78" spans="2:9" ht="30.5" customHeight="1" outlineLevel="1">
      <c r="B78" s="69"/>
      <c r="C78" s="41"/>
      <c r="D78" s="42"/>
      <c r="E78" s="42"/>
      <c r="F78" s="42"/>
      <c r="G78" s="43"/>
      <c r="H78" s="16"/>
      <c r="I78" s="16"/>
    </row>
    <row r="79" spans="2:9" ht="30.5" customHeight="1" outlineLevel="1">
      <c r="B79" s="69"/>
      <c r="C79" s="41"/>
      <c r="D79" s="42"/>
      <c r="E79" s="42"/>
      <c r="F79" s="42"/>
      <c r="G79" s="43"/>
      <c r="H79" s="16"/>
      <c r="I79" s="16"/>
    </row>
    <row r="80" spans="2:9" ht="22" customHeight="1" outlineLevel="1">
      <c r="B80" s="69"/>
      <c r="C80" s="41"/>
      <c r="D80" s="42"/>
      <c r="E80" s="42"/>
      <c r="F80" s="42"/>
      <c r="G80" s="43"/>
      <c r="H80" s="16"/>
      <c r="I80" s="16"/>
    </row>
    <row r="81" spans="2:15" s="8" customFormat="1" ht="19.5" customHeight="1" outlineLevel="1">
      <c r="B81" s="70" t="s">
        <v>34</v>
      </c>
      <c r="C81" s="45"/>
      <c r="G81" s="46"/>
      <c r="H81" s="17"/>
      <c r="I81" s="17"/>
      <c r="M81"/>
      <c r="N81"/>
      <c r="O81"/>
    </row>
    <row r="82" spans="2:15">
      <c r="B82" s="68"/>
      <c r="C82" s="3"/>
      <c r="D82" s="13"/>
      <c r="E82" s="13"/>
      <c r="F82" s="13"/>
      <c r="G82" s="11"/>
      <c r="H82" s="12"/>
      <c r="I82" s="12"/>
    </row>
    <row r="83" spans="2:15" s="47" customFormat="1" ht="27" customHeight="1">
      <c r="B83" s="53" t="s">
        <v>20</v>
      </c>
      <c r="C83" s="57" t="s">
        <v>21</v>
      </c>
      <c r="D83" s="20"/>
      <c r="E83" s="20"/>
      <c r="F83" s="20"/>
      <c r="G83" s="60" t="s">
        <v>19</v>
      </c>
      <c r="H83" s="87" t="str">
        <f>IF(C83="NÃO","NÃO SE APLICA","NECESSITA DE ANÁLISE")</f>
        <v>NECESSITA DE ANÁLISE</v>
      </c>
      <c r="I83" s="87"/>
    </row>
    <row r="84" spans="2:15" ht="30" customHeight="1">
      <c r="B84" s="73" t="str">
        <f>B53</f>
        <v>Possui historico?</v>
      </c>
      <c r="C84" s="55" t="s">
        <v>14</v>
      </c>
      <c r="D84" s="55" t="s">
        <v>35</v>
      </c>
      <c r="E84" s="55" t="s">
        <v>36</v>
      </c>
      <c r="F84" s="55" t="s">
        <v>32</v>
      </c>
      <c r="G84" s="84" t="s">
        <v>0</v>
      </c>
      <c r="H84" s="84"/>
      <c r="I84" s="84"/>
    </row>
    <row r="85" spans="2:15" ht="12" customHeight="1">
      <c r="B85" s="86" t="str">
        <f>$B$27</f>
        <v xml:space="preserve">1200 m³/h a 5700 m³/h SI        105,2 kPa </v>
      </c>
      <c r="C85" s="56" t="str">
        <f>$C$27</f>
        <v>SI</v>
      </c>
      <c r="D85" s="56" t="s">
        <v>13</v>
      </c>
      <c r="E85" s="56" t="s">
        <v>13</v>
      </c>
      <c r="F85" s="56" t="s">
        <v>13</v>
      </c>
      <c r="G85" s="84"/>
      <c r="H85" s="84"/>
      <c r="I85" s="84"/>
    </row>
    <row r="86" spans="2:15" ht="18" customHeight="1">
      <c r="B86" s="86"/>
      <c r="C86" s="21">
        <f>C28</f>
        <v>1200</v>
      </c>
      <c r="D86" s="22">
        <v>0.01</v>
      </c>
      <c r="E86" s="22">
        <v>0.03</v>
      </c>
      <c r="F86" s="23">
        <f>$D$18</f>
        <v>0.05</v>
      </c>
      <c r="G86" s="78" t="str">
        <f t="shared" ref="G86:G88" si="6">IF(E86=""," ",IF(E86&lt;=F86,"APROVADO","REPROVADO"))</f>
        <v>APROVADO</v>
      </c>
      <c r="H86" s="78"/>
      <c r="I86" s="78"/>
    </row>
    <row r="87" spans="2:15" ht="18" customHeight="1">
      <c r="B87" s="86"/>
      <c r="C87" s="21">
        <f>C29</f>
        <v>1400</v>
      </c>
      <c r="D87" s="22">
        <v>0.04</v>
      </c>
      <c r="E87" s="22">
        <v>0.01</v>
      </c>
      <c r="F87" s="23">
        <f t="shared" ref="F87:F95" si="7">$D$18</f>
        <v>0.05</v>
      </c>
      <c r="G87" s="78" t="str">
        <f t="shared" si="6"/>
        <v>APROVADO</v>
      </c>
      <c r="H87" s="78"/>
      <c r="I87" s="78"/>
    </row>
    <row r="88" spans="2:15" ht="18" customHeight="1">
      <c r="B88" s="86"/>
      <c r="C88" s="21">
        <f>C30</f>
        <v>1600</v>
      </c>
      <c r="D88" s="22">
        <v>0.03</v>
      </c>
      <c r="E88" s="22">
        <v>0.02</v>
      </c>
      <c r="F88" s="23">
        <f t="shared" si="7"/>
        <v>0.05</v>
      </c>
      <c r="G88" s="78" t="str">
        <f t="shared" si="6"/>
        <v>APROVADO</v>
      </c>
      <c r="H88" s="78"/>
      <c r="I88" s="78"/>
    </row>
    <row r="89" spans="2:15" ht="18" customHeight="1">
      <c r="B89" s="86"/>
      <c r="C89" s="21">
        <f>C31</f>
        <v>1900</v>
      </c>
      <c r="D89" s="22">
        <v>0.02</v>
      </c>
      <c r="E89" s="22">
        <v>0.01</v>
      </c>
      <c r="F89" s="23">
        <f t="shared" si="7"/>
        <v>0.05</v>
      </c>
      <c r="G89" s="78" t="str">
        <f t="shared" ref="G89:G95" si="8">IF(E89=""," ",IF(E89&lt;=F89,"APROVADO","REPROVADO"))</f>
        <v>APROVADO</v>
      </c>
      <c r="H89" s="78"/>
      <c r="I89" s="78"/>
    </row>
    <row r="90" spans="2:15" ht="18" customHeight="1">
      <c r="B90" s="86"/>
      <c r="C90" s="21">
        <f>C32</f>
        <v>2300</v>
      </c>
      <c r="D90" s="22">
        <v>0.01</v>
      </c>
      <c r="E90" s="22">
        <v>0.04</v>
      </c>
      <c r="F90" s="23">
        <f t="shared" si="7"/>
        <v>0.05</v>
      </c>
      <c r="G90" s="78" t="str">
        <f t="shared" si="8"/>
        <v>APROVADO</v>
      </c>
      <c r="H90" s="78"/>
      <c r="I90" s="78"/>
    </row>
    <row r="91" spans="2:15" ht="18" customHeight="1">
      <c r="B91" s="86"/>
      <c r="C91" s="21">
        <f>C33</f>
        <v>2800</v>
      </c>
      <c r="D91" s="22">
        <v>0.02</v>
      </c>
      <c r="E91" s="22">
        <v>0.03</v>
      </c>
      <c r="F91" s="23">
        <f t="shared" si="7"/>
        <v>0.05</v>
      </c>
      <c r="G91" s="78" t="str">
        <f t="shared" si="8"/>
        <v>APROVADO</v>
      </c>
      <c r="H91" s="78"/>
      <c r="I91" s="78"/>
    </row>
    <row r="92" spans="2:15" ht="18" customHeight="1">
      <c r="B92" s="86"/>
      <c r="C92" s="21">
        <f>C34</f>
        <v>3400</v>
      </c>
      <c r="D92" s="22">
        <v>0.03</v>
      </c>
      <c r="E92" s="22">
        <v>0.03</v>
      </c>
      <c r="F92" s="23">
        <f t="shared" si="7"/>
        <v>0.05</v>
      </c>
      <c r="G92" s="78" t="str">
        <f t="shared" si="8"/>
        <v>APROVADO</v>
      </c>
      <c r="H92" s="78"/>
      <c r="I92" s="78"/>
    </row>
    <row r="93" spans="2:15" ht="18" customHeight="1">
      <c r="B93" s="86"/>
      <c r="C93" s="21">
        <f>C35</f>
        <v>4000</v>
      </c>
      <c r="D93" s="22">
        <v>0.03</v>
      </c>
      <c r="E93" s="22">
        <v>0.01</v>
      </c>
      <c r="F93" s="23">
        <f t="shared" si="7"/>
        <v>0.05</v>
      </c>
      <c r="G93" s="78" t="str">
        <f t="shared" si="8"/>
        <v>APROVADO</v>
      </c>
      <c r="H93" s="78"/>
      <c r="I93" s="78"/>
    </row>
    <row r="94" spans="2:15" ht="18" customHeight="1">
      <c r="B94" s="86"/>
      <c r="C94" s="21">
        <f>C36</f>
        <v>4800</v>
      </c>
      <c r="D94" s="22">
        <v>0.01</v>
      </c>
      <c r="E94" s="22">
        <v>0.02</v>
      </c>
      <c r="F94" s="23">
        <f t="shared" si="7"/>
        <v>0.05</v>
      </c>
      <c r="G94" s="78" t="str">
        <f t="shared" si="8"/>
        <v>APROVADO</v>
      </c>
      <c r="H94" s="78"/>
      <c r="I94" s="78"/>
    </row>
    <row r="95" spans="2:15" ht="18" customHeight="1">
      <c r="B95" s="86"/>
      <c r="C95" s="21">
        <f>C37</f>
        <v>5700</v>
      </c>
      <c r="D95" s="22">
        <v>0.01</v>
      </c>
      <c r="E95" s="22">
        <v>0.02</v>
      </c>
      <c r="F95" s="23">
        <f t="shared" si="7"/>
        <v>0.05</v>
      </c>
      <c r="G95" s="78" t="str">
        <f t="shared" si="8"/>
        <v>APROVADO</v>
      </c>
      <c r="H95" s="78"/>
      <c r="I95" s="78"/>
    </row>
    <row r="96" spans="2:15" ht="18" customHeight="1">
      <c r="B96" s="69"/>
      <c r="G96" s="77"/>
      <c r="H96" s="77"/>
      <c r="I96" s="77"/>
    </row>
    <row r="97" spans="2:13" ht="27" customHeight="1">
      <c r="B97" s="68"/>
      <c r="G97" s="11"/>
      <c r="H97" s="12"/>
      <c r="I97" s="12"/>
    </row>
    <row r="98" spans="2:13" ht="30" customHeight="1">
      <c r="B98" s="68"/>
      <c r="C98" s="3"/>
      <c r="D98" s="13"/>
      <c r="E98" s="13"/>
      <c r="F98" s="13"/>
      <c r="G98" s="11"/>
      <c r="H98" s="12"/>
      <c r="I98" s="12"/>
    </row>
    <row r="99" spans="2:13" ht="30" customHeight="1">
      <c r="B99" s="68"/>
      <c r="C99" s="3"/>
      <c r="D99" s="13"/>
      <c r="E99" s="13"/>
      <c r="F99" s="13"/>
      <c r="G99" s="11"/>
      <c r="H99" s="12"/>
      <c r="I99" s="12"/>
    </row>
    <row r="100" spans="2:13" ht="15.75" customHeight="1">
      <c r="B100" s="68"/>
      <c r="C100" s="3"/>
      <c r="D100" s="13"/>
      <c r="E100" s="13"/>
      <c r="F100" s="13"/>
      <c r="G100" s="11"/>
      <c r="H100" s="12"/>
      <c r="I100" s="12"/>
    </row>
    <row r="101" spans="2:13" ht="27.75" customHeight="1">
      <c r="B101" s="68"/>
      <c r="C101" s="3"/>
      <c r="D101" s="13"/>
      <c r="E101" s="13"/>
      <c r="F101" s="13"/>
      <c r="G101" s="11"/>
      <c r="H101" s="12"/>
      <c r="I101" s="12"/>
    </row>
    <row r="102" spans="2:13" ht="27" customHeight="1">
      <c r="B102" s="68"/>
      <c r="C102" s="3"/>
      <c r="D102" s="13"/>
      <c r="E102" s="13"/>
      <c r="F102" s="13"/>
      <c r="G102" s="11"/>
      <c r="H102" s="12"/>
      <c r="I102" s="12"/>
    </row>
    <row r="103" spans="2:13" ht="27" customHeight="1">
      <c r="B103" s="68"/>
      <c r="C103" s="3"/>
      <c r="D103" s="13"/>
      <c r="E103" s="13"/>
      <c r="F103" s="13"/>
      <c r="G103" s="11"/>
      <c r="H103" s="12"/>
      <c r="I103" s="12"/>
    </row>
    <row r="104" spans="2:13" ht="27" customHeight="1">
      <c r="B104" s="68"/>
      <c r="C104" s="3"/>
      <c r="D104" s="13"/>
      <c r="E104" s="13"/>
      <c r="F104" s="13"/>
      <c r="G104" s="11"/>
      <c r="H104" s="12"/>
      <c r="I104" s="12"/>
    </row>
    <row r="105" spans="2:13" ht="27" customHeight="1">
      <c r="B105" s="68"/>
      <c r="C105" s="3"/>
      <c r="D105" s="13"/>
      <c r="E105" s="13"/>
      <c r="F105" s="13"/>
      <c r="G105" s="11"/>
      <c r="H105" s="12"/>
      <c r="I105" s="12"/>
    </row>
    <row r="106" spans="2:13" ht="27" customHeight="1">
      <c r="B106" s="68"/>
      <c r="C106" s="3"/>
      <c r="D106" s="13"/>
      <c r="E106" s="13"/>
      <c r="F106" s="13"/>
      <c r="G106" s="11"/>
      <c r="H106" s="12"/>
      <c r="I106" s="12"/>
    </row>
    <row r="107" spans="2:13" ht="27" customHeight="1">
      <c r="B107" s="68"/>
      <c r="C107" s="3"/>
      <c r="D107" s="13"/>
      <c r="E107" s="13"/>
      <c r="F107" s="13"/>
      <c r="G107" s="11"/>
      <c r="H107" s="12"/>
      <c r="I107" s="12"/>
    </row>
    <row r="108" spans="2:13" ht="27" customHeight="1">
      <c r="B108" s="68"/>
      <c r="C108" s="3"/>
      <c r="D108" s="13"/>
      <c r="E108" s="13"/>
      <c r="F108" s="13"/>
      <c r="G108" s="11"/>
      <c r="H108" s="12"/>
      <c r="I108" s="12"/>
    </row>
    <row r="109" spans="2:13" ht="27" customHeight="1">
      <c r="B109" s="68"/>
      <c r="C109" s="3"/>
      <c r="D109" s="59"/>
      <c r="E109" s="59"/>
      <c r="F109" s="59"/>
      <c r="G109" s="11"/>
      <c r="H109" s="12"/>
      <c r="I109" s="12"/>
    </row>
    <row r="110" spans="2:13" ht="27" customHeight="1">
      <c r="B110" s="68"/>
      <c r="C110" s="3"/>
      <c r="D110" s="59"/>
      <c r="E110" s="59"/>
      <c r="F110" s="59"/>
      <c r="G110" s="11"/>
      <c r="H110" s="12"/>
      <c r="I110" s="12"/>
    </row>
    <row r="111" spans="2:13" s="8" customFormat="1" ht="27.75" customHeight="1">
      <c r="B111" s="80" t="s">
        <v>53</v>
      </c>
      <c r="C111" s="80"/>
      <c r="D111" s="80"/>
      <c r="E111" s="80"/>
      <c r="F111" s="80"/>
      <c r="G111" s="80"/>
      <c r="H111" s="80"/>
      <c r="I111" s="81"/>
      <c r="J111"/>
      <c r="K111"/>
      <c r="L111"/>
      <c r="M111"/>
    </row>
    <row r="112" spans="2:13">
      <c r="B112" s="66"/>
    </row>
    <row r="113" spans="2:15">
      <c r="B113" s="59"/>
      <c r="E113" s="54"/>
      <c r="F113" s="54"/>
      <c r="G113" s="11"/>
      <c r="H113" s="12"/>
      <c r="I113" s="12"/>
    </row>
    <row r="114" spans="2:15" ht="21" customHeight="1">
      <c r="B114" s="82"/>
      <c r="D114" s="65">
        <v>46043</v>
      </c>
      <c r="E114" s="13"/>
      <c r="F114" s="13"/>
      <c r="G114" s="11"/>
      <c r="H114" s="12"/>
      <c r="I114" s="12"/>
    </row>
    <row r="115" spans="2:15" ht="28.5" customHeight="1">
      <c r="B115" s="82"/>
      <c r="C115" s="79" t="s">
        <v>4</v>
      </c>
      <c r="D115" s="79"/>
      <c r="E115" s="79"/>
      <c r="G115" s="79" t="s">
        <v>46</v>
      </c>
      <c r="H115" s="79"/>
      <c r="I115" s="79"/>
    </row>
    <row r="116" spans="2:15">
      <c r="B116" s="67"/>
      <c r="C116" s="95"/>
      <c r="D116" s="95"/>
      <c r="E116" s="13"/>
      <c r="F116" s="82"/>
      <c r="G116" s="82"/>
      <c r="H116" s="94"/>
      <c r="I116" s="94"/>
    </row>
    <row r="118" spans="2:15" s="1" customFormat="1">
      <c r="B118" s="2"/>
      <c r="C118" s="93"/>
      <c r="D118" s="93"/>
      <c r="E118" s="93"/>
      <c r="F118" s="93"/>
      <c r="G118"/>
      <c r="H118"/>
      <c r="I118"/>
      <c r="J118"/>
      <c r="M118"/>
      <c r="N118"/>
      <c r="O118"/>
    </row>
    <row r="119" spans="2:15" s="5" customFormat="1">
      <c r="B119"/>
      <c r="C119" s="2"/>
      <c r="D119" s="4"/>
      <c r="E119" s="6"/>
      <c r="F119"/>
      <c r="G119"/>
      <c r="H119"/>
      <c r="I119"/>
      <c r="J119" s="1"/>
      <c r="M119"/>
      <c r="N119"/>
      <c r="O119"/>
    </row>
    <row r="120" spans="2:15">
      <c r="C120" s="2"/>
      <c r="D120" s="4"/>
      <c r="E120" s="6"/>
      <c r="J120" s="5"/>
    </row>
    <row r="121" spans="2:15">
      <c r="C121" s="2"/>
      <c r="D121" s="92"/>
      <c r="E121" s="92"/>
    </row>
    <row r="125" spans="2:15" hidden="1" outlineLevel="1"/>
    <row r="126" spans="2:15" collapsed="1"/>
    <row r="148" ht="14.25" customHeight="1"/>
  </sheetData>
  <sheetProtection selectLockedCells="1"/>
  <mergeCells count="60">
    <mergeCell ref="B4:L4"/>
    <mergeCell ref="G84:I85"/>
    <mergeCell ref="G88:I88"/>
    <mergeCell ref="G89:I89"/>
    <mergeCell ref="G90:I90"/>
    <mergeCell ref="G91:I91"/>
    <mergeCell ref="C8:E8"/>
    <mergeCell ref="C9:E9"/>
    <mergeCell ref="C10:E10"/>
    <mergeCell ref="F8:G8"/>
    <mergeCell ref="C6:E6"/>
    <mergeCell ref="C7:E7"/>
    <mergeCell ref="B18:C18"/>
    <mergeCell ref="F12:G12"/>
    <mergeCell ref="H6:I6"/>
    <mergeCell ref="F6:G6"/>
    <mergeCell ref="F7:G7"/>
    <mergeCell ref="H7:I7"/>
    <mergeCell ref="H8:I8"/>
    <mergeCell ref="B16:E16"/>
    <mergeCell ref="H13:I13"/>
    <mergeCell ref="C11:E11"/>
    <mergeCell ref="C14:E14"/>
    <mergeCell ref="H12:I12"/>
    <mergeCell ref="F13:G13"/>
    <mergeCell ref="C12:E12"/>
    <mergeCell ref="C13:E13"/>
    <mergeCell ref="H83:I83"/>
    <mergeCell ref="D121:E121"/>
    <mergeCell ref="C118:F118"/>
    <mergeCell ref="H116:I116"/>
    <mergeCell ref="C116:D116"/>
    <mergeCell ref="F116:G116"/>
    <mergeCell ref="G92:I92"/>
    <mergeCell ref="G93:I93"/>
    <mergeCell ref="G94:I94"/>
    <mergeCell ref="G95:I95"/>
    <mergeCell ref="B1:L1"/>
    <mergeCell ref="I26:I27"/>
    <mergeCell ref="B19:C19"/>
    <mergeCell ref="H54:I54"/>
    <mergeCell ref="H55:I55"/>
    <mergeCell ref="H53:I53"/>
    <mergeCell ref="B27:B37"/>
    <mergeCell ref="B55:B65"/>
    <mergeCell ref="B22:I22"/>
    <mergeCell ref="H9:I9"/>
    <mergeCell ref="H10:I10"/>
    <mergeCell ref="F9:G9"/>
    <mergeCell ref="F10:G10"/>
    <mergeCell ref="F11:G11"/>
    <mergeCell ref="B21:I21"/>
    <mergeCell ref="H11:I11"/>
    <mergeCell ref="C115:E115"/>
    <mergeCell ref="G115:I115"/>
    <mergeCell ref="B111:I111"/>
    <mergeCell ref="B114:B115"/>
    <mergeCell ref="B85:B95"/>
    <mergeCell ref="G86:I86"/>
    <mergeCell ref="G87:I87"/>
  </mergeCells>
  <phoneticPr fontId="1" type="noConversion"/>
  <conditionalFormatting sqref="B27 B55 B68:B80">
    <cfRule type="containsErrors" dxfId="21" priority="25" stopIfTrue="1">
      <formula>ISERROR(B27)</formula>
    </cfRule>
  </conditionalFormatting>
  <conditionalFormatting sqref="B85">
    <cfRule type="containsErrors" dxfId="20" priority="17" stopIfTrue="1">
      <formula>ISERROR(B85)</formula>
    </cfRule>
  </conditionalFormatting>
  <conditionalFormatting sqref="C53">
    <cfRule type="containsBlanks" dxfId="19" priority="40" stopIfTrue="1">
      <formula>LEN(TRIM(C53))=0</formula>
    </cfRule>
  </conditionalFormatting>
  <conditionalFormatting sqref="C56:C65 E56:G65 G66:G67 C68:C80 E68:G80 F86:F95">
    <cfRule type="cellIs" dxfId="18" priority="55" stopIfTrue="1" operator="equal">
      <formula>0</formula>
    </cfRule>
  </conditionalFormatting>
  <conditionalFormatting sqref="C83">
    <cfRule type="containsBlanks" dxfId="17" priority="22" stopIfTrue="1">
      <formula>LEN(TRIM(C83))=0</formula>
    </cfRule>
  </conditionalFormatting>
  <conditionalFormatting sqref="C86:C95">
    <cfRule type="cellIs" dxfId="16" priority="23" stopIfTrue="1" operator="equal">
      <formula>0</formula>
    </cfRule>
  </conditionalFormatting>
  <conditionalFormatting sqref="C115 I56:I67 G86:G96">
    <cfRule type="cellIs" dxfId="15" priority="1" stopIfTrue="1" operator="equal">
      <formula>"REPROVADO"</formula>
    </cfRule>
    <cfRule type="cellIs" dxfId="14" priority="2" stopIfTrue="1" operator="equal">
      <formula>"APROVADO"</formula>
    </cfRule>
  </conditionalFormatting>
  <conditionalFormatting sqref="C68:G80">
    <cfRule type="cellIs" dxfId="13" priority="123" stopIfTrue="1" operator="equal">
      <formula>"0,0"</formula>
    </cfRule>
  </conditionalFormatting>
  <conditionalFormatting sqref="D17:D18">
    <cfRule type="expression" dxfId="12" priority="237" stopIfTrue="1">
      <formula>IF(F21=TRUE,)</formula>
    </cfRule>
  </conditionalFormatting>
  <conditionalFormatting sqref="D19">
    <cfRule type="expression" dxfId="11" priority="236" stopIfTrue="1">
      <formula>IF(#REF!=TRUE,)</formula>
    </cfRule>
  </conditionalFormatting>
  <conditionalFormatting sqref="H16:H18">
    <cfRule type="expression" dxfId="10" priority="43" stopIfTrue="1">
      <formula>IF(J20=TRUE,)</formula>
    </cfRule>
  </conditionalFormatting>
  <conditionalFormatting sqref="H24:H25">
    <cfRule type="containsText" dxfId="9" priority="51" stopIfTrue="1" operator="containsText" text="REPROVADO">
      <formula>NOT(ISERROR(SEARCH("REPROVADO",H24)))</formula>
    </cfRule>
    <cfRule type="containsText" dxfId="8" priority="52" stopIfTrue="1" operator="containsText" text="APROVADO">
      <formula>NOT(ISERROR(SEARCH("APROVADO",H24)))</formula>
    </cfRule>
  </conditionalFormatting>
  <conditionalFormatting sqref="H53">
    <cfRule type="containsText" dxfId="7" priority="28" stopIfTrue="1" operator="containsText" text="REPROVADO">
      <formula>NOT(ISERROR(SEARCH("REPROVADO",H53)))</formula>
    </cfRule>
    <cfRule type="containsText" dxfId="6" priority="29" stopIfTrue="1" operator="containsText" text="APROVADO">
      <formula>NOT(ISERROR(SEARCH("APROVADO",H53)))</formula>
    </cfRule>
  </conditionalFormatting>
  <conditionalFormatting sqref="H83">
    <cfRule type="containsText" dxfId="5" priority="20" stopIfTrue="1" operator="containsText" text="REPROVADO">
      <formula>NOT(ISERROR(SEARCH("REPROVADO",H83)))</formula>
    </cfRule>
    <cfRule type="containsText" dxfId="4" priority="21" stopIfTrue="1" operator="containsText" text="APROVADO">
      <formula>NOT(ISERROR(SEARCH("APROVADO",H83)))</formula>
    </cfRule>
  </conditionalFormatting>
  <conditionalFormatting sqref="I28:I37">
    <cfRule type="cellIs" dxfId="3" priority="61" stopIfTrue="1" operator="equal">
      <formula>"REPROVADO"</formula>
    </cfRule>
    <cfRule type="cellIs" dxfId="2" priority="63" stopIfTrue="1" operator="equal">
      <formula>"APROVADO"</formula>
    </cfRule>
  </conditionalFormatting>
  <conditionalFormatting sqref="H68:H80 H81:I82 H97:I110 H113:I114 G115 H116:I116">
    <cfRule type="cellIs" dxfId="1" priority="18" stopIfTrue="1" operator="equal">
      <formula>"REPROVADO"</formula>
    </cfRule>
    <cfRule type="cellIs" dxfId="0" priority="19" stopIfTrue="1" operator="equal">
      <formula>"APROVADO"</formula>
    </cfRule>
  </conditionalFormatting>
  <dataValidations count="2">
    <dataValidation allowBlank="1" showInputMessage="1" showErrorMessage="1" errorTitle="Código Incorreto!" error="Selecione um TAG existente ou inclua novo instrumento na Base dos Padrões." prompt="Insira ou selecione o TAG para analise" sqref="C6:C12" xr:uid="{D4E65B69-4EC0-44F5-86D4-341534EA2BF4}"/>
    <dataValidation type="list" allowBlank="1" showInputMessage="1" showErrorMessage="1" sqref="C53 C83" xr:uid="{D24307CC-C72F-4013-A8D3-9A23FFA936F2}">
      <formula1>$P$22:$P$23</formula1>
    </dataValidation>
  </dataValidations>
  <printOptions horizontalCentered="1" verticalCentered="1"/>
  <pageMargins left="0.25" right="0.25" top="0.75" bottom="0.75" header="0.3" footer="0.3"/>
  <pageSetup scale="54" fitToHeight="0" orientation="portrait" r:id="rId1"/>
  <headerFooter>
    <oddFooter>&amp;LFR-LAB-121 Rev.04&amp;CAnalise Critica de certificados  - Vazão&amp;R&amp;P / &amp;N</oddFooter>
  </headerFooter>
  <rowBreaks count="2" manualBreakCount="2">
    <brk id="49" max="16383" man="1"/>
    <brk id="7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2032-F3A9-4511-97BB-0068172B106D}">
  <dimension ref="A1"/>
  <sheetViews>
    <sheetView workbookViewId="0">
      <selection activeCell="O28" sqref="O28"/>
    </sheetView>
  </sheetViews>
  <sheetFormatPr defaultRowHeight="14.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99d08e-6ea6-4132-9c44-828665d897c8" xsi:nil="true"/>
    <lcf76f155ced4ddcb4097134ff3c332f xmlns="a79d198c-1a72-426e-a584-7aeb6e99d7a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AEF247946E74FA7DB41EB0C3AB085" ma:contentTypeVersion="11" ma:contentTypeDescription="Create a new document." ma:contentTypeScope="" ma:versionID="ad2f620dec38638d6500e632486f623a">
  <xsd:schema xmlns:xsd="http://www.w3.org/2001/XMLSchema" xmlns:xs="http://www.w3.org/2001/XMLSchema" xmlns:p="http://schemas.microsoft.com/office/2006/metadata/properties" xmlns:ns2="a79d198c-1a72-426e-a584-7aeb6e99d7a7" xmlns:ns3="7999d08e-6ea6-4132-9c44-828665d897c8" targetNamespace="http://schemas.microsoft.com/office/2006/metadata/properties" ma:root="true" ma:fieldsID="e1d7802b5d5573f04847b7ca56297663" ns2:_="" ns3:_="">
    <xsd:import namespace="a79d198c-1a72-426e-a584-7aeb6e99d7a7"/>
    <xsd:import namespace="7999d08e-6ea6-4132-9c44-828665d897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d198c-1a72-426e-a584-7aeb6e99d7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abd1654-8be5-422d-b546-a72151bd52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9d08e-6ea6-4132-9c44-828665d897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f35e44-bf0b-49cf-ae85-c12b8266910a}" ma:internalName="TaxCatchAll" ma:showField="CatchAllData" ma:web="7999d08e-6ea6-4132-9c44-828665d89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2EF6E-769E-4EED-9513-E4081F557DF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79d198c-1a72-426e-a584-7aeb6e99d7a7"/>
    <ds:schemaRef ds:uri="http://purl.org/dc/elements/1.1/"/>
    <ds:schemaRef ds:uri="http://schemas.microsoft.com/office/2006/metadata/properties"/>
    <ds:schemaRef ds:uri="7999d08e-6ea6-4132-9c44-828665d897c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A88991-6124-44E0-9EB3-99C3DF5C7B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854FFD-8E5E-4850-A2C2-004BAFF533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9d198c-1a72-426e-a584-7aeb6e99d7a7"/>
    <ds:schemaRef ds:uri="7999d08e-6ea6-4132-9c44-828665d897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Sheet1</vt:lpstr>
      <vt:lpstr>APOIO</vt:lpstr>
      <vt:lpstr>Sheet1!Area_de_impressao</vt:lpstr>
    </vt:vector>
  </TitlesOfParts>
  <Company>Conaut Controles Automaticos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 Souza Araujo</dc:creator>
  <cp:keywords>Conaut Controles Automaticos</cp:keywords>
  <cp:lastModifiedBy>Carolina Silva Bastos</cp:lastModifiedBy>
  <cp:lastPrinted>2026-01-27T13:09:44Z</cp:lastPrinted>
  <dcterms:created xsi:type="dcterms:W3CDTF">2010-10-26T15:01:03Z</dcterms:created>
  <dcterms:modified xsi:type="dcterms:W3CDTF">2026-01-27T13:21:59Z</dcterms:modified>
  <cp:category>Laboratório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0x010100C5EAEF247946E74FA7DB41EB0C3AB085</vt:lpwstr>
  </property>
  <property fmtid="{D5CDD505-2E9C-101B-9397-08002B2CF9AE}" pid="3" name="MediaServiceImageTags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