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420" yWindow="-16320" windowWidth="29040" windowHeight="15720" tabRatio="600" firstSheet="1" activeTab="1" autoFilterDateGrouping="1"/>
  </bookViews>
  <sheets>
    <sheet name="BASE" sheetId="1" state="hidden" r:id="rId1"/>
    <sheet name="Template Formulário" sheetId="2" state="visible" r:id="rId2"/>
  </sheets>
  <definedNames>
    <definedName name="_xlnm.Print_Area" localSheetId="1">'Template Formulário'!$A$1:$J$42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rio"/>
      <family val="3"/>
      <color theme="1"/>
      <sz val="9"/>
    </font>
    <font>
      <name val="Prio"/>
      <family val="3"/>
      <color theme="1" tint="0.499984740745262"/>
      <sz val="9"/>
    </font>
    <font>
      <name val="Prio"/>
      <family val="3"/>
      <color theme="1"/>
      <sz val="8"/>
    </font>
    <font>
      <name val="Prio"/>
      <family val="3"/>
      <b val="1"/>
      <color rgb="FF008080"/>
      <sz val="8"/>
    </font>
    <font>
      <name val="Prio"/>
      <family val="3"/>
      <b val="1"/>
      <color theme="1" tint="0.499984740745262"/>
      <sz val="8"/>
    </font>
    <font>
      <name val="Prio"/>
      <b val="1"/>
      <color theme="1"/>
      <sz val="9"/>
    </font>
    <font>
      <name val="Prio"/>
      <b val="1"/>
      <color theme="1"/>
      <sz val="8"/>
    </font>
    <font>
      <name val="Arial"/>
      <family val="2"/>
      <color theme="1"/>
      <sz val="9"/>
    </font>
    <font>
      <name val="Prio"/>
      <b val="1"/>
      <color rgb="FF008080"/>
      <sz val="13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0" fontId="1" fillId="0" borderId="6" pivotButton="0" quotePrefix="0" xfId="0"/>
    <xf numFmtId="0" fontId="1" fillId="0" borderId="5" pivotButton="0" quotePrefix="0" xfId="0"/>
    <xf numFmtId="0" fontId="1" fillId="0" borderId="8" pivotButton="0" quotePrefix="0" xfId="0"/>
    <xf numFmtId="0" fontId="1" fillId="0" borderId="4" pivotButton="0" quotePrefix="0" xfId="0"/>
    <xf numFmtId="0" fontId="1" fillId="0" borderId="9" pivotButton="0" quotePrefix="0" xfId="0"/>
    <xf numFmtId="0" fontId="1" fillId="0" borderId="3" pivotButton="0" quotePrefix="0" xfId="0"/>
    <xf numFmtId="0" fontId="1" fillId="0" borderId="5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4" fontId="1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2" pivotButton="0" quotePrefix="0" xfId="0"/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7" pivotButton="0" quotePrefix="0" xfId="0"/>
    <xf numFmtId="14" fontId="3" fillId="0" borderId="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top"/>
    </xf>
    <xf numFmtId="0" fontId="4" fillId="3" borderId="0" applyAlignment="1" pivotButton="0" quotePrefix="0" xfId="0">
      <alignment horizontal="left" vertical="top" wrapText="1"/>
    </xf>
    <xf numFmtId="0" fontId="1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913022</colOff>
      <row>1</row>
      <rowOff>85725</rowOff>
    </from>
    <to>
      <col>7</col>
      <colOff>383525</colOff>
      <row>1</row>
      <rowOff>381607</rowOff>
    </to>
    <pic>
      <nvPicPr>
        <cNvPr id="7" name="Imagem 6" descr="Logotipo&#10;&#10;Descrição gerada automaticamente"/>
        <cNvPicPr/>
      </nvPicPr>
      <blipFill>
        <a:blip cstate="print" r:embed="rId1"/>
        <a:stretch>
          <a:fillRect/>
        </a:stretch>
      </blipFill>
      <spPr>
        <a:xfrm>
          <a:off x="6285122" y="238125"/>
          <a:ext cx="1375503" cy="29588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showGridLines="0" zoomScale="80" zoomScaleNormal="80" workbookViewId="0">
      <selection activeCell="A3" sqref="A3"/>
    </sheetView>
  </sheetViews>
  <sheetFormatPr baseColWidth="8" defaultRowHeight="14.5"/>
  <cols>
    <col width="64.1796875" bestFit="1" customWidth="1" min="1" max="1"/>
    <col width="3.453125" bestFit="1" customWidth="1" min="2" max="2"/>
    <col width="13.453125" bestFit="1" customWidth="1" min="3" max="3"/>
    <col width="3.453125" bestFit="1" customWidth="1" min="4" max="4"/>
    <col width="50.81640625" bestFit="1" customWidth="1" min="5" max="5"/>
  </cols>
  <sheetData>
    <row r="1">
      <c r="A1" t="inlineStr">
        <is>
          <t xml:space="preserve">071-TG-1041 Gas to cooler temperature gauge </t>
        </is>
      </c>
      <c r="B1">
        <f>SEARCH(" ",A1)</f>
        <v/>
      </c>
      <c r="C1">
        <f>LEFT(A1,B1-1)</f>
        <v/>
      </c>
      <c r="D1">
        <f>LEN(A1)</f>
        <v/>
      </c>
      <c r="E1">
        <f>RIGHT(A1,D1-B1)</f>
        <v/>
      </c>
    </row>
    <row r="2">
      <c r="A2" t="inlineStr">
        <is>
          <t xml:space="preserve">071-PDI-1080 Gas differential pressure indicator across cooler </t>
        </is>
      </c>
      <c r="B2">
        <f>SEARCH(" ",A2)</f>
        <v/>
      </c>
      <c r="C2">
        <f>LEFT(A2,B2-1)</f>
        <v/>
      </c>
      <c r="D2">
        <f>LEN(A2)</f>
        <v/>
      </c>
      <c r="E2">
        <f>RIGHT(A2,D2-B2)</f>
        <v/>
      </c>
    </row>
    <row r="3">
      <c r="A3" t="inlineStr">
        <is>
          <t xml:space="preserve">071-PT-1043 Gas to scrubber pressure transmitter </t>
        </is>
      </c>
      <c r="B3">
        <f>SEARCH(" ",A3)</f>
        <v/>
      </c>
      <c r="C3">
        <f>LEFT(A3,B3-1)</f>
        <v/>
      </c>
      <c r="D3">
        <f>LEN(A3)</f>
        <v/>
      </c>
      <c r="E3">
        <f>RIGHT(A3,D3-B3)</f>
        <v/>
      </c>
    </row>
    <row r="4">
      <c r="A4" t="inlineStr">
        <is>
          <t xml:space="preserve">071-TSI-1042 Gas to scrubber temperature safety indicator </t>
        </is>
      </c>
      <c r="B4">
        <f>SEARCH(" ",A4)</f>
        <v/>
      </c>
      <c r="C4">
        <f>LEFT(A4,B4-1)</f>
        <v/>
      </c>
      <c r="D4">
        <f>LEN(A4)</f>
        <v/>
      </c>
      <c r="E4">
        <f>RIGHT(A4,D4-B4)</f>
        <v/>
      </c>
    </row>
    <row r="5">
      <c r="A5" t="inlineStr">
        <is>
          <t xml:space="preserve">071-TIC-1043 Gas to scrubber temperature indicator controller </t>
        </is>
      </c>
      <c r="B5">
        <f>SEARCH(" ",A5)</f>
        <v/>
      </c>
      <c r="C5">
        <f>LEFT(A5,B5-1)</f>
        <v/>
      </c>
      <c r="D5">
        <f>LEN(A5)</f>
        <v/>
      </c>
      <c r="E5">
        <f>RIGHT(A5,D5-B5)</f>
        <v/>
      </c>
    </row>
    <row r="6">
      <c r="A6" t="inlineStr">
        <is>
          <t xml:space="preserve">104-PG-1045 Cooling medium supply pressure gauge </t>
        </is>
      </c>
      <c r="B6">
        <f>SEARCH(" ",A6)</f>
        <v/>
      </c>
      <c r="C6">
        <f>LEFT(A6,B6-1)</f>
        <v/>
      </c>
      <c r="D6">
        <f>LEN(A6)</f>
        <v/>
      </c>
      <c r="E6">
        <f>RIGHT(A6,D6-B6)</f>
        <v/>
      </c>
    </row>
    <row r="7">
      <c r="A7" t="inlineStr">
        <is>
          <t xml:space="preserve">104-PDI-1039 C.M. differential pressure indicator across cooler </t>
        </is>
      </c>
      <c r="B7">
        <f>SEARCH(" ",A7)</f>
        <v/>
      </c>
      <c r="C7">
        <f>LEFT(A7,B7-1)</f>
        <v/>
      </c>
      <c r="D7">
        <f>LEN(A7)</f>
        <v/>
      </c>
      <c r="E7">
        <f>RIGHT(A7,D7-B7)</f>
        <v/>
      </c>
    </row>
    <row r="8">
      <c r="A8" t="inlineStr">
        <is>
          <t xml:space="preserve">071-PG-1015 Scrubber pressure gauge </t>
        </is>
      </c>
      <c r="B8">
        <f>SEARCH(" ",A8)</f>
        <v/>
      </c>
      <c r="C8">
        <f>LEFT(A8,B8-1)</f>
        <v/>
      </c>
      <c r="D8">
        <f>LEN(A8)</f>
        <v/>
      </c>
      <c r="E8">
        <f>RIGHT(A8,D8-B8)</f>
        <v/>
      </c>
    </row>
    <row r="9">
      <c r="A9" t="inlineStr">
        <is>
          <t xml:space="preserve">071-LG-1007 Scrubber level gauge </t>
        </is>
      </c>
      <c r="B9">
        <f>SEARCH(" ",A9)</f>
        <v/>
      </c>
      <c r="C9">
        <f>LEFT(A9,B9-1)</f>
        <v/>
      </c>
      <c r="D9">
        <f>LEN(A9)</f>
        <v/>
      </c>
      <c r="E9">
        <f>RIGHT(A9,D9-B9)</f>
        <v/>
      </c>
    </row>
    <row r="10">
      <c r="A10" t="inlineStr">
        <is>
          <t xml:space="preserve">071-LSI-1013 Scrubber level safety indicator </t>
        </is>
      </c>
      <c r="B10">
        <f>SEARCH(" ",A10)</f>
        <v/>
      </c>
      <c r="C10">
        <f>LEFT(A10,B10-1)</f>
        <v/>
      </c>
      <c r="D10">
        <f>LEN(A10)</f>
        <v/>
      </c>
      <c r="E10">
        <f>RIGHT(A10,D10-B10)</f>
        <v/>
      </c>
    </row>
    <row r="11">
      <c r="A11" t="inlineStr">
        <is>
          <t>071-LIC-1014 Scrubber level indicator controller</t>
        </is>
      </c>
      <c r="B11">
        <f>SEARCH(" ",A11)</f>
        <v/>
      </c>
      <c r="C11">
        <f>LEFT(A11,B11-1)</f>
        <v/>
      </c>
      <c r="D11">
        <f>LEN(A11)</f>
        <v/>
      </c>
      <c r="E11">
        <f>RIGHT(A11,D11-B11)</f>
        <v/>
      </c>
    </row>
    <row r="12">
      <c r="B12">
        <f>SEARCH(" ",A12)</f>
        <v/>
      </c>
      <c r="C12">
        <f>LEFT(A12,B12-1)</f>
        <v/>
      </c>
      <c r="D12">
        <f>LEN(A12)</f>
        <v/>
      </c>
      <c r="E12">
        <f>RIGHT(A12,D12-B12)</f>
        <v/>
      </c>
    </row>
    <row r="13">
      <c r="A13" t="inlineStr">
        <is>
          <t xml:space="preserve">071-PSI-1047 Compressor suction pressure safety indicator </t>
        </is>
      </c>
      <c r="B13">
        <f>SEARCH(" ",A13)</f>
        <v/>
      </c>
      <c r="C13">
        <f>LEFT(A13,B13-1)</f>
        <v/>
      </c>
      <c r="D13">
        <f>LEN(A13)</f>
        <v/>
      </c>
      <c r="E13">
        <f>RIGHT(A13,D13-B13)</f>
        <v/>
      </c>
    </row>
    <row r="14">
      <c r="A14" t="inlineStr">
        <is>
          <t xml:space="preserve">071-TSI-1045 Compressor discharge temperature safety indicator </t>
        </is>
      </c>
      <c r="B14">
        <f>SEARCH(" ",A14)</f>
        <v/>
      </c>
      <c r="C14">
        <f>LEFT(A14,B14-1)</f>
        <v/>
      </c>
      <c r="D14">
        <f>LEN(A14)</f>
        <v/>
      </c>
      <c r="E14">
        <f>RIGHT(A14,D14-B14)</f>
        <v/>
      </c>
    </row>
    <row r="15">
      <c r="A15" t="inlineStr">
        <is>
          <t xml:space="preserve">071-TG-1044 Compressor discharge temperature gauge </t>
        </is>
      </c>
      <c r="B15">
        <f>SEARCH(" ",A15)</f>
        <v/>
      </c>
      <c r="C15">
        <f>LEFT(A15,B15-1)</f>
        <v/>
      </c>
      <c r="D15">
        <f>LEN(A15)</f>
        <v/>
      </c>
      <c r="E15">
        <f>RIGHT(A15,D15-B15)</f>
        <v/>
      </c>
    </row>
    <row r="16">
      <c r="A16" t="inlineStr">
        <is>
          <t xml:space="preserve">071-PSI-1048 Compressor discharge pressure safety indicator </t>
        </is>
      </c>
      <c r="B16">
        <f>SEARCH(" ",A16)</f>
        <v/>
      </c>
      <c r="C16">
        <f>LEFT(A16,B16-1)</f>
        <v/>
      </c>
      <c r="D16">
        <f>LEN(A16)</f>
        <v/>
      </c>
      <c r="E16">
        <f>RIGHT(A16,D16-B16)</f>
        <v/>
      </c>
    </row>
    <row r="17">
      <c r="A17" t="inlineStr">
        <is>
          <t>071-PIC-1049 Compressor suction pressure indicator controller (with high discharge pressure override from 071-PT-1049)</t>
        </is>
      </c>
      <c r="B17">
        <f>SEARCH(" ",A17)</f>
        <v/>
      </c>
      <c r="C17">
        <f>LEFT(A17,B17-1)</f>
        <v/>
      </c>
      <c r="D17">
        <f>LEN(A17)</f>
        <v/>
      </c>
      <c r="E17">
        <f>RIGHT(A17,D17-B17)</f>
        <v/>
      </c>
    </row>
    <row r="18">
      <c r="A18" t="inlineStr">
        <is>
          <t>071-FI-1027 Compressor discharge flow indicator</t>
        </is>
      </c>
      <c r="B18">
        <f>SEARCH(" ",A18)</f>
        <v/>
      </c>
      <c r="C18">
        <f>LEFT(A18,B18-1)</f>
        <v/>
      </c>
      <c r="D18">
        <f>LEN(A18)</f>
        <v/>
      </c>
      <c r="E18">
        <f>RIGHT(A18,D18-B18)</f>
        <v/>
      </c>
    </row>
    <row r="19">
      <c r="B19">
        <f>SEARCH(" ",A19)</f>
        <v/>
      </c>
      <c r="C19">
        <f>LEFT(A19,B19-1)</f>
        <v/>
      </c>
      <c r="D19">
        <f>LEN(A19)</f>
        <v/>
      </c>
      <c r="E19">
        <f>RIGHT(A19,D19-B19)</f>
        <v/>
      </c>
    </row>
    <row r="20">
      <c r="A20" t="inlineStr">
        <is>
          <t>071-6544 071-SDV-1051 upstream manual valve</t>
        </is>
      </c>
      <c r="B20">
        <f>SEARCH(" ",A20)</f>
        <v/>
      </c>
      <c r="C20">
        <f>LEFT(A20,B20-1)</f>
        <v/>
      </c>
      <c r="D20">
        <f>LEN(A20)</f>
        <v/>
      </c>
      <c r="E20">
        <f>RIGHT(A20,D20-B20)</f>
        <v/>
      </c>
    </row>
    <row r="21">
      <c r="A21" t="inlineStr">
        <is>
          <t>071-SDV-1051 Flash gas from separators shutdown valve</t>
        </is>
      </c>
      <c r="B21">
        <f>SEARCH(" ",A21)</f>
        <v/>
      </c>
      <c r="C21">
        <f>LEFT(A21,B21-1)</f>
        <v/>
      </c>
      <c r="D21">
        <f>LEN(A21)</f>
        <v/>
      </c>
      <c r="E21">
        <f>RIGHT(A21,D21-B21)</f>
        <v/>
      </c>
    </row>
    <row r="22">
      <c r="A22" t="inlineStr">
        <is>
          <t>104-6554 Cooling medium supply valve</t>
        </is>
      </c>
      <c r="B22">
        <f>SEARCH(" ",A22)</f>
        <v/>
      </c>
      <c r="C22">
        <f>LEFT(A22,B22-1)</f>
        <v/>
      </c>
      <c r="D22">
        <f>LEN(A22)</f>
        <v/>
      </c>
      <c r="E22">
        <f>RIGHT(A22,D22-B22)</f>
        <v/>
      </c>
    </row>
    <row r="23">
      <c r="A23" t="inlineStr">
        <is>
          <t xml:space="preserve">104-6555 104-PSV-1043 upstream valve </t>
        </is>
      </c>
      <c r="B23">
        <f>SEARCH(" ",A23)</f>
        <v/>
      </c>
      <c r="C23">
        <f>LEFT(A23,B23-1)</f>
        <v/>
      </c>
      <c r="D23">
        <f>LEN(A23)</f>
        <v/>
      </c>
      <c r="E23">
        <f>RIGHT(A23,D23-B23)</f>
        <v/>
      </c>
    </row>
    <row r="24">
      <c r="A24" t="inlineStr">
        <is>
          <t>104-TCV-1049 Cooling medium return control valve</t>
        </is>
      </c>
      <c r="B24">
        <f>SEARCH(" ",A24)</f>
        <v/>
      </c>
      <c r="C24">
        <f>LEFT(A24,B24-1)</f>
        <v/>
      </c>
      <c r="D24">
        <f>LEN(A24)</f>
        <v/>
      </c>
      <c r="E24">
        <f>RIGHT(A24,D24-B24)</f>
        <v/>
      </c>
    </row>
    <row r="25">
      <c r="A25" t="inlineStr">
        <is>
          <t>104-6563 104-TCV-1049 downstream valve</t>
        </is>
      </c>
      <c r="B25">
        <f>SEARCH(" ",A25)</f>
        <v/>
      </c>
      <c r="C25">
        <f>LEFT(A25,B25-1)</f>
        <v/>
      </c>
      <c r="D25">
        <f>LEN(A25)</f>
        <v/>
      </c>
      <c r="E25">
        <f>RIGHT(A25,D25-B25)</f>
        <v/>
      </c>
    </row>
    <row r="26">
      <c r="A26" t="inlineStr">
        <is>
          <t xml:space="preserve">071-6565 071-PSV-1015 upstream valves </t>
        </is>
      </c>
      <c r="B26">
        <f>SEARCH(" ",A26)</f>
        <v/>
      </c>
      <c r="C26">
        <f>LEFT(A26,B26-1)</f>
        <v/>
      </c>
      <c r="D26">
        <f>LEN(A26)</f>
        <v/>
      </c>
      <c r="E26">
        <f>RIGHT(A26,D26-B26)</f>
        <v/>
      </c>
    </row>
    <row r="27">
      <c r="A27" t="inlineStr">
        <is>
          <t>080-6568 071-PSV-1015 downstream valve</t>
        </is>
      </c>
      <c r="B27">
        <f>SEARCH(" ",A27)</f>
        <v/>
      </c>
      <c r="C27">
        <f>LEFT(A27,B27-1)</f>
        <v/>
      </c>
      <c r="D27">
        <f>LEN(A27)</f>
        <v/>
      </c>
      <c r="E27">
        <f>RIGHT(A27,D27-B27)</f>
        <v/>
      </c>
    </row>
    <row r="28">
      <c r="A28" t="inlineStr">
        <is>
          <t>084-6573 MBF-2315 bottom drain outlet valve</t>
        </is>
      </c>
      <c r="B28">
        <f>SEARCH(" ",A28)</f>
        <v/>
      </c>
      <c r="C28">
        <f>LEFT(A28,B28-1)</f>
        <v/>
      </c>
      <c r="D28">
        <f>LEN(A28)</f>
        <v/>
      </c>
      <c r="E28">
        <f>RIGHT(A28,D28-B28)</f>
        <v/>
      </c>
    </row>
    <row r="29">
      <c r="A29" t="inlineStr">
        <is>
          <t xml:space="preserve">071-SDV-1071 Condensate outlet from MBF-2315 shutdown valve </t>
        </is>
      </c>
      <c r="B29">
        <f>SEARCH(" ",A29)</f>
        <v/>
      </c>
      <c r="C29">
        <f>LEFT(A29,B29-1)</f>
        <v/>
      </c>
      <c r="D29">
        <f>LEN(A29)</f>
        <v/>
      </c>
      <c r="E29">
        <f>RIGHT(A29,D29-B29)</f>
        <v/>
      </c>
    </row>
    <row r="30">
      <c r="A30" t="inlineStr">
        <is>
          <t>071-LCV-1016 Condensate outlet from MBF-2315 level control valve</t>
        </is>
      </c>
      <c r="B30">
        <f>SEARCH(" ",A30)</f>
        <v/>
      </c>
      <c r="C30">
        <f>LEFT(A30,B30-1)</f>
        <v/>
      </c>
      <c r="D30">
        <f>LEN(A30)</f>
        <v/>
      </c>
      <c r="E30">
        <f>RIGHT(A30,D30-B30)</f>
        <v/>
      </c>
    </row>
    <row r="31">
      <c r="A31" t="inlineStr">
        <is>
          <t>071-6582 071-LCV-1016 downstream valve</t>
        </is>
      </c>
      <c r="B31">
        <f>SEARCH(" ",A31)</f>
        <v/>
      </c>
      <c r="C31">
        <f>LEFT(A31,B31-1)</f>
        <v/>
      </c>
      <c r="D31">
        <f>LEN(A31)</f>
        <v/>
      </c>
      <c r="E31">
        <f>RIGHT(A31,D31-B31)</f>
        <v/>
      </c>
    </row>
    <row r="32">
      <c r="B32">
        <f>SEARCH(" ",A32)</f>
        <v/>
      </c>
      <c r="C32">
        <f>LEFT(A32,B32-1)</f>
        <v/>
      </c>
      <c r="D32">
        <f>LEN(A32)</f>
        <v/>
      </c>
      <c r="E32">
        <f>RIGHT(A32,D32-B32)</f>
        <v/>
      </c>
    </row>
    <row r="33">
      <c r="A33" t="inlineStr">
        <is>
          <t>071-PCV-1057 Compressor recycle control valve</t>
        </is>
      </c>
      <c r="B33">
        <f>SEARCH(" ",A33)</f>
        <v/>
      </c>
      <c r="C33">
        <f>LEFT(A33,B33-1)</f>
        <v/>
      </c>
      <c r="D33">
        <f>LEN(A33)</f>
        <v/>
      </c>
      <c r="E33">
        <f>RIGHT(A33,D33-B33)</f>
        <v/>
      </c>
    </row>
    <row r="34">
      <c r="A34" t="inlineStr">
        <is>
          <t>071-6586 071-PSV-1018 upstream valves</t>
        </is>
      </c>
      <c r="B34">
        <f>SEARCH(" ",A34)</f>
        <v/>
      </c>
      <c r="C34">
        <f>LEFT(A34,B34-1)</f>
        <v/>
      </c>
      <c r="D34">
        <f>LEN(A34)</f>
        <v/>
      </c>
      <c r="E34">
        <f>RIGHT(A34,D34-B34)</f>
        <v/>
      </c>
    </row>
    <row r="35">
      <c r="A35" t="inlineStr">
        <is>
          <t>080-6589 071-PSV-1018 downstream valve</t>
        </is>
      </c>
      <c r="B35">
        <f>SEARCH(" ",A35)</f>
        <v/>
      </c>
      <c r="C35">
        <f>LEFT(A35,B35-1)</f>
        <v/>
      </c>
      <c r="D35">
        <f>LEN(A35)</f>
        <v/>
      </c>
      <c r="E35">
        <f>RIGHT(A35,D35-B35)</f>
        <v/>
      </c>
    </row>
    <row r="36">
      <c r="A36" t="inlineStr">
        <is>
          <t>071-BDV-1063 Compressor discharge blowdown valve</t>
        </is>
      </c>
      <c r="B36">
        <f>SEARCH(" ",A36)</f>
        <v/>
      </c>
      <c r="C36">
        <f>LEFT(A36,B36-1)</f>
        <v/>
      </c>
      <c r="D36">
        <f>LEN(A36)</f>
        <v/>
      </c>
      <c r="E36">
        <f>RIGHT(A36,D36-B36)</f>
        <v/>
      </c>
    </row>
    <row r="37">
      <c r="A37" t="inlineStr">
        <is>
          <t>080-6596 071-BDV-1063 downstream valve</t>
        </is>
      </c>
      <c r="B37">
        <f>SEARCH(" ",A37)</f>
        <v/>
      </c>
      <c r="C37">
        <f>LEFT(A37,B37-1)</f>
        <v/>
      </c>
      <c r="D37">
        <f>LEN(A37)</f>
        <v/>
      </c>
      <c r="E37">
        <f>RIGHT(A37,D37-B37)</f>
        <v/>
      </c>
    </row>
    <row r="38">
      <c r="A38" t="inlineStr">
        <is>
          <t>071-SDV-1052 Compressor discharge shutdown valve</t>
        </is>
      </c>
      <c r="B38">
        <f>SEARCH(" ",A38)</f>
        <v/>
      </c>
      <c r="C38">
        <f>LEFT(A38,B38-1)</f>
        <v/>
      </c>
      <c r="D38">
        <f>LEN(A38)</f>
        <v/>
      </c>
      <c r="E38">
        <f>RIGHT(A38,D38-B38)</f>
        <v/>
      </c>
    </row>
    <row r="39">
      <c r="A39" t="inlineStr">
        <is>
          <t>071-6594 071-SDV-1052 downstream valve</t>
        </is>
      </c>
      <c r="B39">
        <f>SEARCH(" ",A39)</f>
        <v/>
      </c>
      <c r="C39">
        <f>LEFT(A39,B39-1)</f>
        <v/>
      </c>
      <c r="D39">
        <f>LEN(A39)</f>
        <v/>
      </c>
      <c r="E39">
        <f>RIGHT(A39,D39-B39)</f>
        <v/>
      </c>
    </row>
    <row r="40">
      <c r="B40">
        <f>SEARCH(" ",A40)</f>
        <v/>
      </c>
      <c r="C40">
        <f>LEFT(A40,B40-1)</f>
        <v/>
      </c>
      <c r="D40">
        <f>LEN(A40)</f>
        <v/>
      </c>
      <c r="E40">
        <f>RIGHT(A40,D40-B40)</f>
        <v/>
      </c>
    </row>
    <row r="41">
      <c r="A41" t="inlineStr">
        <is>
          <t xml:space="preserve">071-TG-1047 Gas to cooler temperature gauge </t>
        </is>
      </c>
      <c r="B41">
        <f>SEARCH(" ",A41)</f>
        <v/>
      </c>
      <c r="C41">
        <f>LEFT(A41,B41-1)</f>
        <v/>
      </c>
      <c r="D41">
        <f>LEN(A41)</f>
        <v/>
      </c>
      <c r="E41">
        <f>RIGHT(A41,D41-B41)</f>
        <v/>
      </c>
    </row>
    <row r="42">
      <c r="A42" t="inlineStr">
        <is>
          <t xml:space="preserve">071-PDI-1081 Gas differential pressure indicator across cooler </t>
        </is>
      </c>
      <c r="B42">
        <f>SEARCH(" ",A42)</f>
        <v/>
      </c>
      <c r="C42">
        <f>LEFT(A42,B42-1)</f>
        <v/>
      </c>
      <c r="D42">
        <f>LEN(A42)</f>
        <v/>
      </c>
      <c r="E42">
        <f>RIGHT(A42,D42-B42)</f>
        <v/>
      </c>
    </row>
    <row r="43">
      <c r="A43" t="inlineStr">
        <is>
          <t xml:space="preserve">071-PT-1051 Gas to scrubber pressure transmitter </t>
        </is>
      </c>
      <c r="B43">
        <f>SEARCH(" ",A43)</f>
        <v/>
      </c>
      <c r="C43">
        <f>LEFT(A43,B43-1)</f>
        <v/>
      </c>
      <c r="D43">
        <f>LEN(A43)</f>
        <v/>
      </c>
      <c r="E43">
        <f>RIGHT(A43,D43-B43)</f>
        <v/>
      </c>
    </row>
    <row r="44">
      <c r="A44" t="inlineStr">
        <is>
          <t xml:space="preserve">071-TSI-1048 Gas to scrubber temperature safety indicator </t>
        </is>
      </c>
      <c r="B44">
        <f>SEARCH(" ",A44)</f>
        <v/>
      </c>
      <c r="C44">
        <f>LEFT(A44,B44-1)</f>
        <v/>
      </c>
      <c r="D44">
        <f>LEN(A44)</f>
        <v/>
      </c>
      <c r="E44">
        <f>RIGHT(A44,D44-B44)</f>
        <v/>
      </c>
    </row>
    <row r="45">
      <c r="A45" t="inlineStr">
        <is>
          <t xml:space="preserve">071-TIC-1049 Gas to scrubber temperature indicator controller </t>
        </is>
      </c>
      <c r="B45">
        <f>SEARCH(" ",A45)</f>
        <v/>
      </c>
      <c r="C45">
        <f>LEFT(A45,B45-1)</f>
        <v/>
      </c>
      <c r="D45">
        <f>LEN(A45)</f>
        <v/>
      </c>
      <c r="E45">
        <f>RIGHT(A45,D45-B45)</f>
        <v/>
      </c>
    </row>
    <row r="46">
      <c r="A46" t="inlineStr">
        <is>
          <t xml:space="preserve">104-PG-1046 Cooling medium supply pressure gauge </t>
        </is>
      </c>
      <c r="B46">
        <f>SEARCH(" ",A46)</f>
        <v/>
      </c>
      <c r="C46">
        <f>LEFT(A46,B46-1)</f>
        <v/>
      </c>
      <c r="D46">
        <f>LEN(A46)</f>
        <v/>
      </c>
      <c r="E46">
        <f>RIGHT(A46,D46-B46)</f>
        <v/>
      </c>
    </row>
    <row r="47">
      <c r="A47" t="inlineStr">
        <is>
          <t xml:space="preserve">104-PDI-1040 C.M. differential pressure indicator across cooler </t>
        </is>
      </c>
      <c r="B47">
        <f>SEARCH(" ",A47)</f>
        <v/>
      </c>
      <c r="C47">
        <f>LEFT(A47,B47-1)</f>
        <v/>
      </c>
      <c r="D47">
        <f>LEN(A47)</f>
        <v/>
      </c>
      <c r="E47">
        <f>RIGHT(A47,D47-B47)</f>
        <v/>
      </c>
    </row>
    <row r="48">
      <c r="A48" t="inlineStr">
        <is>
          <t xml:space="preserve">071-PG-1016 Scrubber pressure gauge </t>
        </is>
      </c>
      <c r="B48">
        <f>SEARCH(" ",A48)</f>
        <v/>
      </c>
      <c r="C48">
        <f>LEFT(A48,B48-1)</f>
        <v/>
      </c>
      <c r="D48">
        <f>LEN(A48)</f>
        <v/>
      </c>
      <c r="E48">
        <f>RIGHT(A48,D48-B48)</f>
        <v/>
      </c>
    </row>
    <row r="49">
      <c r="A49" t="inlineStr">
        <is>
          <t xml:space="preserve">071-LG-1008 Scrubber level gauge </t>
        </is>
      </c>
      <c r="B49">
        <f>SEARCH(" ",A49)</f>
        <v/>
      </c>
      <c r="C49">
        <f>LEFT(A49,B49-1)</f>
        <v/>
      </c>
      <c r="D49">
        <f>LEN(A49)</f>
        <v/>
      </c>
      <c r="E49">
        <f>RIGHT(A49,D49-B49)</f>
        <v/>
      </c>
    </row>
    <row r="50">
      <c r="A50" t="inlineStr">
        <is>
          <t xml:space="preserve">071-LSI-1015 Scrubber level safety indicator </t>
        </is>
      </c>
      <c r="B50">
        <f>SEARCH(" ",A50)</f>
        <v/>
      </c>
      <c r="C50">
        <f>LEFT(A50,B50-1)</f>
        <v/>
      </c>
      <c r="D50">
        <f>LEN(A50)</f>
        <v/>
      </c>
      <c r="E50">
        <f>RIGHT(A50,D50-B50)</f>
        <v/>
      </c>
    </row>
    <row r="51">
      <c r="A51" t="inlineStr">
        <is>
          <t>071-LIC-1016 Scrubber level indicator controller</t>
        </is>
      </c>
      <c r="B51">
        <f>SEARCH(" ",A51)</f>
        <v/>
      </c>
      <c r="C51">
        <f>LEFT(A51,B51-1)</f>
        <v/>
      </c>
      <c r="D51">
        <f>LEN(A51)</f>
        <v/>
      </c>
      <c r="E51">
        <f>RIGHT(A51,D51-B51)</f>
        <v/>
      </c>
    </row>
    <row r="52">
      <c r="B52">
        <f>SEARCH(" ",A52)</f>
        <v/>
      </c>
      <c r="C52">
        <f>LEFT(A52,B52-1)</f>
        <v/>
      </c>
      <c r="D52">
        <f>LEN(A52)</f>
        <v/>
      </c>
      <c r="E52">
        <f>RIGHT(A52,D52-B52)</f>
        <v/>
      </c>
    </row>
    <row r="53">
      <c r="A53" t="inlineStr">
        <is>
          <t xml:space="preserve">071-PSI-1055 Compressor suction pressure safety indicator </t>
        </is>
      </c>
      <c r="B53">
        <f>SEARCH(" ",A53)</f>
        <v/>
      </c>
      <c r="C53">
        <f>LEFT(A53,B53-1)</f>
        <v/>
      </c>
      <c r="D53">
        <f>LEN(A53)</f>
        <v/>
      </c>
      <c r="E53">
        <f>RIGHT(A53,D53-B53)</f>
        <v/>
      </c>
    </row>
    <row r="54">
      <c r="A54" t="inlineStr">
        <is>
          <t xml:space="preserve">071-TSI-1051 Compressor discharge temperature safety indicator </t>
        </is>
      </c>
      <c r="B54">
        <f>SEARCH(" ",A54)</f>
        <v/>
      </c>
      <c r="C54">
        <f>LEFT(A54,B54-1)</f>
        <v/>
      </c>
      <c r="D54">
        <f>LEN(A54)</f>
        <v/>
      </c>
      <c r="E54">
        <f>RIGHT(A54,D54-B54)</f>
        <v/>
      </c>
    </row>
    <row r="55">
      <c r="A55" t="inlineStr">
        <is>
          <t xml:space="preserve">071-TG-1050 Compressor discharge temperature gauge </t>
        </is>
      </c>
      <c r="B55">
        <f>SEARCH(" ",A55)</f>
        <v/>
      </c>
      <c r="C55">
        <f>LEFT(A55,B55-1)</f>
        <v/>
      </c>
      <c r="D55">
        <f>LEN(A55)</f>
        <v/>
      </c>
      <c r="E55">
        <f>RIGHT(A55,D55-B55)</f>
        <v/>
      </c>
    </row>
    <row r="56">
      <c r="A56" t="inlineStr">
        <is>
          <t xml:space="preserve">071-PSI-1056 Compressor discharge pressure safety indicator </t>
        </is>
      </c>
      <c r="B56">
        <f>SEARCH(" ",A56)</f>
        <v/>
      </c>
      <c r="C56">
        <f>LEFT(A56,B56-1)</f>
        <v/>
      </c>
      <c r="D56">
        <f>LEN(A56)</f>
        <v/>
      </c>
      <c r="E56">
        <f>RIGHT(A56,D56-B56)</f>
        <v/>
      </c>
    </row>
    <row r="57">
      <c r="A57" t="inlineStr">
        <is>
          <t xml:space="preserve">071-PIC-1057 Compressor suction pressure indicator controller (with high discharge pressure override from 071-PT-1057) </t>
        </is>
      </c>
      <c r="B57">
        <f>SEARCH(" ",A57)</f>
        <v/>
      </c>
      <c r="C57">
        <f>LEFT(A57,B57-1)</f>
        <v/>
      </c>
      <c r="D57">
        <f>LEN(A57)</f>
        <v/>
      </c>
      <c r="E57">
        <f>RIGHT(A57,D57-B57)</f>
        <v/>
      </c>
    </row>
    <row r="58">
      <c r="A58" t="inlineStr">
        <is>
          <t>071-FI-1028 Compressor discharge flow indicator</t>
        </is>
      </c>
      <c r="B58">
        <f>SEARCH(" ",A58)</f>
        <v/>
      </c>
      <c r="C58">
        <f>LEFT(A58,B58-1)</f>
        <v/>
      </c>
      <c r="D58">
        <f>LEN(A58)</f>
        <v/>
      </c>
      <c r="E58">
        <f>RIGHT(A58,D58-B58)</f>
        <v/>
      </c>
    </row>
    <row r="59">
      <c r="B59">
        <f>SEARCH(" ",A59)</f>
        <v/>
      </c>
      <c r="C59">
        <f>LEFT(A59,B59-1)</f>
        <v/>
      </c>
      <c r="D59">
        <f>LEN(A59)</f>
        <v/>
      </c>
      <c r="E59">
        <f>RIGHT(A59,D59-B59)</f>
        <v/>
      </c>
    </row>
    <row r="60">
      <c r="B60">
        <f>SEARCH(" ",A60)</f>
        <v/>
      </c>
      <c r="C60">
        <f>LEFT(A60,B60-1)</f>
        <v/>
      </c>
      <c r="D60">
        <f>LEN(A60)</f>
        <v/>
      </c>
      <c r="E60">
        <f>RIGHT(A60,D60-B60)</f>
        <v/>
      </c>
    </row>
    <row r="61">
      <c r="B61">
        <f>SEARCH(" ",A61)</f>
        <v/>
      </c>
      <c r="C61">
        <f>LEFT(A61,B61-1)</f>
        <v/>
      </c>
      <c r="D61">
        <f>LEN(A61)</f>
        <v/>
      </c>
      <c r="E61">
        <f>RIGHT(A61,D61-B61)</f>
        <v/>
      </c>
    </row>
    <row r="62">
      <c r="A62" t="inlineStr">
        <is>
          <t>071-4949 Main compressor 1st stage inlet manual valve</t>
        </is>
      </c>
      <c r="B62">
        <f>SEARCH(" ",A62)</f>
        <v/>
      </c>
      <c r="C62">
        <f>LEFT(A62,B62-1)</f>
        <v/>
      </c>
      <c r="D62">
        <f>LEN(A62)</f>
        <v/>
      </c>
      <c r="E62">
        <f>RIGHT(A62,D62-B62)</f>
        <v/>
      </c>
    </row>
    <row r="63">
      <c r="A63" t="inlineStr">
        <is>
          <t>071-SDV-1025 Main compressor 1st stage inlet shutdown valve</t>
        </is>
      </c>
      <c r="B63">
        <f>SEARCH(" ",A63)</f>
        <v/>
      </c>
      <c r="C63">
        <f>LEFT(A63,B63-1)</f>
        <v/>
      </c>
      <c r="D63">
        <f>LEN(A63)</f>
        <v/>
      </c>
      <c r="E63">
        <f>RIGHT(A63,D63-B63)</f>
        <v/>
      </c>
    </row>
    <row r="64">
      <c r="B64">
        <f>SEARCH(" ",A64)</f>
        <v/>
      </c>
      <c r="C64">
        <f>LEFT(A64,B64-1)</f>
        <v/>
      </c>
      <c r="D64">
        <f>LEN(A64)</f>
        <v/>
      </c>
      <c r="E64">
        <f>RIGHT(A64,D64-B64)</f>
        <v/>
      </c>
    </row>
    <row r="65">
      <c r="A65" t="inlineStr">
        <is>
          <t>071-SDV-1026 Main compressor 1st stage inlet pressurization bypass shutdown valve</t>
        </is>
      </c>
      <c r="B65">
        <f>SEARCH(" ",A65)</f>
        <v/>
      </c>
      <c r="C65">
        <f>LEFT(A65,B65-1)</f>
        <v/>
      </c>
      <c r="D65">
        <f>LEN(A65)</f>
        <v/>
      </c>
      <c r="E65">
        <f>RIGHT(A65,D65-B65)</f>
        <v/>
      </c>
    </row>
    <row r="66">
      <c r="A66" t="inlineStr">
        <is>
          <t>071-PCV-1074 Main compressor 1st stage inlet pressure control valve</t>
        </is>
      </c>
      <c r="B66">
        <f>SEARCH(" ",A66)</f>
        <v/>
      </c>
      <c r="C66">
        <f>LEFT(A66,B66-1)</f>
        <v/>
      </c>
      <c r="D66">
        <f>LEN(A66)</f>
        <v/>
      </c>
      <c r="E66">
        <f>RIGHT(A66,D66-B66)</f>
        <v/>
      </c>
    </row>
    <row r="67">
      <c r="A67" t="inlineStr">
        <is>
          <t>071-4974 071-PSV-1007 up stream valve</t>
        </is>
      </c>
      <c r="B67">
        <f>SEARCH(" ",A67)</f>
        <v/>
      </c>
      <c r="C67">
        <f>LEFT(A67,B67-1)</f>
        <v/>
      </c>
      <c r="D67">
        <f>LEN(A67)</f>
        <v/>
      </c>
      <c r="E67">
        <f>RIGHT(A67,D67-B67)</f>
        <v/>
      </c>
    </row>
    <row r="68">
      <c r="A68" t="inlineStr">
        <is>
          <t>080-4977 071-PSV-1007 down stream valve</t>
        </is>
      </c>
      <c r="B68">
        <f>SEARCH(" ",A68)</f>
        <v/>
      </c>
      <c r="C68">
        <f>LEFT(A68,B68-1)</f>
        <v/>
      </c>
      <c r="D68">
        <f>LEN(A68)</f>
        <v/>
      </c>
      <c r="E68">
        <f>RIGHT(A68,D68-B68)</f>
        <v/>
      </c>
    </row>
    <row r="69">
      <c r="A69" t="inlineStr">
        <is>
          <t xml:space="preserve">071-SDV-1027 1st stage suction scrubber MBF-2375 level shutdown valve </t>
        </is>
      </c>
      <c r="B69">
        <f>SEARCH(" ",A69)</f>
        <v/>
      </c>
      <c r="C69">
        <f>LEFT(A69,B69-1)</f>
        <v/>
      </c>
      <c r="D69">
        <f>LEN(A69)</f>
        <v/>
      </c>
      <c r="E69">
        <f>RIGHT(A69,D69-B69)</f>
        <v/>
      </c>
    </row>
    <row r="70">
      <c r="A70" t="inlineStr">
        <is>
          <t>071-LCV-1008 1st stage suction scrubber MBF-2375 level control valve</t>
        </is>
      </c>
      <c r="B70">
        <f>SEARCH(" ",A70)</f>
        <v/>
      </c>
      <c r="C70">
        <f>LEFT(A70,B70-1)</f>
        <v/>
      </c>
      <c r="D70">
        <f>LEN(A70)</f>
        <v/>
      </c>
      <c r="E70">
        <f>RIGHT(A70,D70-B70)</f>
        <v/>
      </c>
    </row>
    <row r="71">
      <c r="A71" t="inlineStr">
        <is>
          <t>071-4972 071-LCV-1008 downstream valve</t>
        </is>
      </c>
      <c r="B71">
        <f>SEARCH(" ",A71)</f>
        <v/>
      </c>
      <c r="C71">
        <f>LEFT(A71,B71-1)</f>
        <v/>
      </c>
      <c r="D71">
        <f>LEN(A71)</f>
        <v/>
      </c>
      <c r="E71">
        <f>RIGHT(A71,D71-B71)</f>
        <v/>
      </c>
    </row>
    <row r="72">
      <c r="A72" t="inlineStr">
        <is>
          <t xml:space="preserve">084-4959 1st stage suction scrubber MBF-2375 closed drain valve </t>
        </is>
      </c>
      <c r="B72">
        <f>SEARCH(" ",A72)</f>
        <v/>
      </c>
      <c r="C72">
        <f>LEFT(A72,B72-1)</f>
        <v/>
      </c>
      <c r="D72">
        <f>LEN(A72)</f>
        <v/>
      </c>
      <c r="E72">
        <f>RIGHT(A72,D72-B72)</f>
        <v/>
      </c>
    </row>
    <row r="73">
      <c r="A73" t="inlineStr">
        <is>
          <t>084-4961 1st stage suction scrubber MBF-2375 closed drain header valve</t>
        </is>
      </c>
      <c r="B73">
        <f>SEARCH(" ",A73)</f>
        <v/>
      </c>
      <c r="C73">
        <f>LEFT(A73,B73-1)</f>
        <v/>
      </c>
      <c r="D73">
        <f>LEN(A73)</f>
        <v/>
      </c>
      <c r="E73">
        <f>RIGHT(A73,D73-B73)</f>
        <v/>
      </c>
    </row>
    <row r="74">
      <c r="A74" t="inlineStr">
        <is>
          <t xml:space="preserve">071-4986 071-SP-2410 1st stage suction sample upstream device </t>
        </is>
      </c>
      <c r="B74">
        <f>SEARCH(" ",A74)</f>
        <v/>
      </c>
      <c r="C74">
        <f>LEFT(A74,B74-1)</f>
        <v/>
      </c>
      <c r="D74">
        <f>LEN(A74)</f>
        <v/>
      </c>
      <c r="E74">
        <f>RIGHT(A74,D74-B74)</f>
        <v/>
      </c>
    </row>
    <row r="75">
      <c r="A75" t="inlineStr">
        <is>
          <t>071-4990 071-PSV-1008 up stream valve</t>
        </is>
      </c>
      <c r="B75">
        <f>SEARCH(" ",A75)</f>
        <v/>
      </c>
      <c r="C75">
        <f>LEFT(A75,B75-1)</f>
        <v/>
      </c>
      <c r="D75">
        <f>LEN(A75)</f>
        <v/>
      </c>
      <c r="E75">
        <f>RIGHT(A75,D75-B75)</f>
        <v/>
      </c>
    </row>
    <row r="76">
      <c r="A76" t="inlineStr">
        <is>
          <t>080-4993 071-PSV-1008 down stream valve</t>
        </is>
      </c>
      <c r="B76">
        <f>SEARCH(" ",A76)</f>
        <v/>
      </c>
      <c r="C76">
        <f>LEFT(A76,B76-1)</f>
        <v/>
      </c>
      <c r="D76">
        <f>LEN(A76)</f>
        <v/>
      </c>
      <c r="E76">
        <f>RIGHT(A76,D76-B76)</f>
        <v/>
      </c>
    </row>
    <row r="77">
      <c r="A77" t="inlineStr">
        <is>
          <t xml:space="preserve">071-FCV-1019 1st stage discharge recycle flow control valve (anti-surge control) </t>
        </is>
      </c>
      <c r="B77">
        <f>SEARCH(" ",A77)</f>
        <v/>
      </c>
      <c r="C77">
        <f>LEFT(A77,B77-1)</f>
        <v/>
      </c>
      <c r="D77">
        <f>LEN(A77)</f>
        <v/>
      </c>
      <c r="E77">
        <f>RIGHT(A77,D77-B77)</f>
        <v/>
      </c>
    </row>
    <row r="78">
      <c r="A78" t="inlineStr">
        <is>
          <t>071-PCV-1098 1st stage discharge recycle flow control valve (capacity control)</t>
        </is>
      </c>
      <c r="B78">
        <f>SEARCH(" ",A78)</f>
        <v/>
      </c>
      <c r="C78">
        <f>LEFT(A78,B78-1)</f>
        <v/>
      </c>
      <c r="D78">
        <f>LEN(A78)</f>
        <v/>
      </c>
      <c r="E78">
        <f>RIGHT(A78,D78-B78)</f>
        <v/>
      </c>
    </row>
    <row r="79">
      <c r="A79" t="inlineStr">
        <is>
          <t xml:space="preserve">104-4998 Cooling medium supply to HGB-2355 valve </t>
        </is>
      </c>
      <c r="B79">
        <f>SEARCH(" ",A79)</f>
        <v/>
      </c>
      <c r="C79">
        <f>LEFT(A79,B79-1)</f>
        <v/>
      </c>
      <c r="D79">
        <f>LEN(A79)</f>
        <v/>
      </c>
      <c r="E79">
        <f>RIGHT(A79,D79-B79)</f>
        <v/>
      </c>
    </row>
    <row r="80">
      <c r="A80" t="inlineStr">
        <is>
          <t xml:space="preserve">071-TCV-1026 Temperature control valve on cooling medium return from 1st stage discharge cooler. </t>
        </is>
      </c>
      <c r="B80">
        <f>SEARCH(" ",A80)</f>
        <v/>
      </c>
      <c r="C80">
        <f>LEFT(A80,B80-1)</f>
        <v/>
      </c>
      <c r="D80">
        <f>LEN(A80)</f>
        <v/>
      </c>
      <c r="E80">
        <f>RIGHT(A80,D80-B80)</f>
        <v/>
      </c>
    </row>
    <row r="81">
      <c r="A81" t="inlineStr">
        <is>
          <t>104-5010 Cooling medium return header valve</t>
        </is>
      </c>
      <c r="B81">
        <f>SEARCH(" ",A81)</f>
        <v/>
      </c>
      <c r="C81">
        <f>LEFT(A81,B81-1)</f>
        <v/>
      </c>
      <c r="D81">
        <f>LEN(A81)</f>
        <v/>
      </c>
      <c r="E81">
        <f>RIGHT(A81,D81-B81)</f>
        <v/>
      </c>
    </row>
    <row r="82">
      <c r="A82" t="inlineStr">
        <is>
          <t>104-5004 071-PSV-1028 up stream valve</t>
        </is>
      </c>
      <c r="B82">
        <f>SEARCH(" ",A82)</f>
        <v/>
      </c>
      <c r="C82">
        <f>LEFT(A82,B82-1)</f>
        <v/>
      </c>
      <c r="D82">
        <f>LEN(A82)</f>
        <v/>
      </c>
      <c r="E82">
        <f>RIGHT(A82,D82-B82)</f>
        <v/>
      </c>
    </row>
    <row r="83">
      <c r="A83" t="inlineStr">
        <is>
          <t>071-5030 071-PSV-1009 up stream valve</t>
        </is>
      </c>
      <c r="B83">
        <f>SEARCH(" ",A83)</f>
        <v/>
      </c>
      <c r="C83">
        <f>LEFT(A83,B83-1)</f>
        <v/>
      </c>
      <c r="D83">
        <f>LEN(A83)</f>
        <v/>
      </c>
      <c r="E83">
        <f>RIGHT(A83,D83-B83)</f>
        <v/>
      </c>
    </row>
    <row r="84">
      <c r="A84" t="inlineStr">
        <is>
          <t>080-5033 071-PSV-1009 down stream valve</t>
        </is>
      </c>
      <c r="B84">
        <f>SEARCH(" ",A84)</f>
        <v/>
      </c>
      <c r="C84">
        <f>LEFT(A84,B84-1)</f>
        <v/>
      </c>
      <c r="D84">
        <f>LEN(A84)</f>
        <v/>
      </c>
      <c r="E84">
        <f>RIGHT(A84,D84-B84)</f>
        <v/>
      </c>
    </row>
    <row r="85">
      <c r="A85" t="inlineStr">
        <is>
          <t>071-FCV-1022 2nd stage discharge recycle flow control valve (anti-surge control)</t>
        </is>
      </c>
      <c r="B85">
        <f>SEARCH(" ",A85)</f>
        <v/>
      </c>
      <c r="C85">
        <f>LEFT(A85,B85-1)</f>
        <v/>
      </c>
      <c r="D85">
        <f>LEN(A85)</f>
        <v/>
      </c>
      <c r="E85">
        <f>RIGHT(A85,D85-B85)</f>
        <v/>
      </c>
    </row>
    <row r="86">
      <c r="B86">
        <f>SEARCH(" ",A86)</f>
        <v/>
      </c>
      <c r="C86">
        <f>LEFT(A86,B86-1)</f>
        <v/>
      </c>
      <c r="D86">
        <f>LEN(A86)</f>
        <v/>
      </c>
      <c r="E86">
        <f>RIGHT(A86,D86-B86)</f>
        <v/>
      </c>
    </row>
    <row r="87">
      <c r="A87" t="inlineStr">
        <is>
          <t xml:space="preserve">071-PCV-1092 2nd stage discharge recycle flow control valve (capacity control) </t>
        </is>
      </c>
      <c r="B87">
        <f>SEARCH(" ",A87)</f>
        <v/>
      </c>
      <c r="C87">
        <f>LEFT(A87,B87-1)</f>
        <v/>
      </c>
      <c r="D87">
        <f>LEN(A87)</f>
        <v/>
      </c>
      <c r="E87">
        <f>RIGHT(A87,D87-B87)</f>
        <v/>
      </c>
    </row>
    <row r="88">
      <c r="A88" t="inlineStr">
        <is>
          <t xml:space="preserve">071-SDV-1028 2nd stage suction scrubber MBF-2390 level shutdown valve </t>
        </is>
      </c>
      <c r="B88">
        <f>SEARCH(" ",A88)</f>
        <v/>
      </c>
      <c r="C88">
        <f>LEFT(A88,B88-1)</f>
        <v/>
      </c>
      <c r="D88">
        <f>LEN(A88)</f>
        <v/>
      </c>
      <c r="E88">
        <f>RIGHT(A88,D88-B88)</f>
        <v/>
      </c>
    </row>
    <row r="89">
      <c r="A89" t="inlineStr">
        <is>
          <t xml:space="preserve">071-LCV-1010 2nd stage suction scrubber MBF-2390 level control valve </t>
        </is>
      </c>
      <c r="B89">
        <f>SEARCH(" ",A89)</f>
        <v/>
      </c>
      <c r="C89">
        <f>LEFT(A89,B89-1)</f>
        <v/>
      </c>
      <c r="D89">
        <f>LEN(A89)</f>
        <v/>
      </c>
      <c r="E89">
        <f>RIGHT(A89,D89-B89)</f>
        <v/>
      </c>
    </row>
    <row r="90">
      <c r="A90" t="inlineStr">
        <is>
          <t>071-5028 071-LCV-1010 downstream valve</t>
        </is>
      </c>
      <c r="B90">
        <f>SEARCH(" ",A90)</f>
        <v/>
      </c>
      <c r="C90">
        <f>LEFT(A90,B90-1)</f>
        <v/>
      </c>
      <c r="D90">
        <f>LEN(A90)</f>
        <v/>
      </c>
      <c r="E90">
        <f>RIGHT(A90,D90-B90)</f>
        <v/>
      </c>
    </row>
    <row r="91">
      <c r="A91" t="inlineStr">
        <is>
          <t xml:space="preserve">084-5016 2nd stage suction scrubber MBF-2390 closed drain valve </t>
        </is>
      </c>
      <c r="B91">
        <f>SEARCH(" ",A91)</f>
        <v/>
      </c>
      <c r="C91">
        <f>LEFT(A91,B91-1)</f>
        <v/>
      </c>
      <c r="D91">
        <f>LEN(A91)</f>
        <v/>
      </c>
      <c r="E91">
        <f>RIGHT(A91,D91-B91)</f>
        <v/>
      </c>
    </row>
    <row r="92">
      <c r="A92" t="inlineStr">
        <is>
          <t xml:space="preserve">084-5018 2nd stage suction scrubber MBF-2390 closed drain header valve </t>
        </is>
      </c>
      <c r="B92">
        <f>SEARCH(" ",A92)</f>
        <v/>
      </c>
      <c r="C92">
        <f>LEFT(A92,B92-1)</f>
        <v/>
      </c>
      <c r="D92">
        <f>LEN(A92)</f>
        <v/>
      </c>
      <c r="E92">
        <f>RIGHT(A92,D92-B92)</f>
        <v/>
      </c>
    </row>
    <row r="93">
      <c r="A93" t="inlineStr">
        <is>
          <t>071-5043 071-PSV-1010 up stream valve</t>
        </is>
      </c>
      <c r="B93">
        <f>SEARCH(" ",A93)</f>
        <v/>
      </c>
      <c r="C93">
        <f>LEFT(A93,B93-1)</f>
        <v/>
      </c>
      <c r="D93">
        <f>LEN(A93)</f>
        <v/>
      </c>
      <c r="E93">
        <f>RIGHT(A93,D93-B93)</f>
        <v/>
      </c>
    </row>
    <row r="94">
      <c r="A94" t="inlineStr">
        <is>
          <t>071-5046 071-PSV-1010 down stream valve</t>
        </is>
      </c>
      <c r="B94">
        <f>SEARCH(" ",A94)</f>
        <v/>
      </c>
      <c r="C94">
        <f>LEFT(A94,B94-1)</f>
        <v/>
      </c>
      <c r="D94">
        <f>LEN(A94)</f>
        <v/>
      </c>
      <c r="E94">
        <f>RIGHT(A94,D94-B94)</f>
        <v/>
      </c>
    </row>
    <row r="95">
      <c r="A95" t="inlineStr">
        <is>
          <t xml:space="preserve">104-5061 Cooling medium supply to HGB-2360 valve </t>
        </is>
      </c>
      <c r="B95">
        <f>SEARCH(" ",A95)</f>
        <v/>
      </c>
      <c r="C95">
        <f>LEFT(A95,B95-1)</f>
        <v/>
      </c>
      <c r="D95">
        <f>LEN(A95)</f>
        <v/>
      </c>
      <c r="E95">
        <f>RIGHT(A95,D95-B95)</f>
        <v/>
      </c>
    </row>
    <row r="96">
      <c r="A96" t="inlineStr">
        <is>
          <t>071-TCV-1034 Temperature control valve on cooling medium return from 2nd stage discharge cooler</t>
        </is>
      </c>
      <c r="B96">
        <f>SEARCH(" ",A96)</f>
        <v/>
      </c>
      <c r="C96">
        <f>LEFT(A96,B96-1)</f>
        <v/>
      </c>
      <c r="D96">
        <f>LEN(A96)</f>
        <v/>
      </c>
      <c r="E96">
        <f>RIGHT(A96,D96-B96)</f>
        <v/>
      </c>
    </row>
    <row r="97">
      <c r="A97" t="inlineStr">
        <is>
          <t>104-5073 Cooling medium return header valve</t>
        </is>
      </c>
      <c r="B97">
        <f>SEARCH(" ",A97)</f>
        <v/>
      </c>
      <c r="C97">
        <f>LEFT(A97,B97-1)</f>
        <v/>
      </c>
      <c r="D97">
        <f>LEN(A97)</f>
        <v/>
      </c>
      <c r="E97">
        <f>RIGHT(A97,D97-B97)</f>
        <v/>
      </c>
    </row>
    <row r="98">
      <c r="A98" t="inlineStr">
        <is>
          <t xml:space="preserve">071-BDV-1031 2nd stage discharge blowdown valve </t>
        </is>
      </c>
      <c r="B98">
        <f>SEARCH(" ",A98)</f>
        <v/>
      </c>
      <c r="C98">
        <f>LEFT(A98,B98-1)</f>
        <v/>
      </c>
      <c r="D98">
        <f>LEN(A98)</f>
        <v/>
      </c>
      <c r="E98">
        <f>RIGHT(A98,D98-B98)</f>
        <v/>
      </c>
    </row>
    <row r="99">
      <c r="A99" t="inlineStr">
        <is>
          <t>071-5075 071-BDV-1031 downstream valve</t>
        </is>
      </c>
      <c r="B99">
        <f>SEARCH(" ",A99)</f>
        <v/>
      </c>
      <c r="C99">
        <f>LEFT(A99,B99-1)</f>
        <v/>
      </c>
      <c r="D99">
        <f>LEN(A99)</f>
        <v/>
      </c>
      <c r="E99">
        <f>RIGHT(A99,D99-B99)</f>
        <v/>
      </c>
    </row>
    <row r="100">
      <c r="A100" t="inlineStr">
        <is>
          <t>071-5076/77 071-BDV-1031 by-pass valves</t>
        </is>
      </c>
      <c r="B100">
        <f>SEARCH(" ",A100)</f>
        <v/>
      </c>
      <c r="C100">
        <f>LEFT(A100,B100-1)</f>
        <v/>
      </c>
      <c r="D100">
        <f>LEN(A100)</f>
        <v/>
      </c>
      <c r="E100">
        <f>RIGHT(A100,D100-B100)</f>
        <v/>
      </c>
    </row>
    <row r="101">
      <c r="A101" t="inlineStr">
        <is>
          <t>104-5067 071-PSV-1029 up stream valve</t>
        </is>
      </c>
      <c r="B101">
        <f>SEARCH(" ",A101)</f>
        <v/>
      </c>
      <c r="C101">
        <f>LEFT(A101,B101-1)</f>
        <v/>
      </c>
      <c r="D101">
        <f>LEN(A101)</f>
        <v/>
      </c>
      <c r="E101">
        <f>RIGHT(A101,D101-B101)</f>
        <v/>
      </c>
    </row>
    <row r="102">
      <c r="A102" t="inlineStr">
        <is>
          <t xml:space="preserve">071-SDV-1029 2nd stage discharge outlet shutdown valve </t>
        </is>
      </c>
      <c r="B102">
        <f>SEARCH(" ",A102)</f>
        <v/>
      </c>
      <c r="C102">
        <f>LEFT(A102,B102-1)</f>
        <v/>
      </c>
      <c r="D102">
        <f>LEN(A102)</f>
        <v/>
      </c>
      <c r="E102">
        <f>RIGHT(A102,D102-B102)</f>
        <v/>
      </c>
    </row>
    <row r="103">
      <c r="A103" t="inlineStr">
        <is>
          <t>071-SDV-1030 2nd stage discharge outlet pressurization bypass shutdown valve</t>
        </is>
      </c>
      <c r="B103">
        <f>SEARCH(" ",A103)</f>
        <v/>
      </c>
      <c r="C103">
        <f>LEFT(A103,B103-1)</f>
        <v/>
      </c>
      <c r="D103">
        <f>LEN(A103)</f>
        <v/>
      </c>
      <c r="E103">
        <f>RIGHT(A103,D103-B103)</f>
        <v/>
      </c>
    </row>
    <row r="104">
      <c r="A104" t="inlineStr">
        <is>
          <t xml:space="preserve">071-5060 2nd stage discharge outlet valve </t>
        </is>
      </c>
      <c r="B104">
        <f>SEARCH(" ",A104)</f>
        <v/>
      </c>
      <c r="C104">
        <f>LEFT(A104,B104-1)</f>
        <v/>
      </c>
      <c r="D104">
        <f>LEN(A104)</f>
        <v/>
      </c>
      <c r="E104">
        <f>RIGHT(A104,D104-B104)</f>
        <v/>
      </c>
    </row>
    <row r="105">
      <c r="A105" t="inlineStr">
        <is>
          <t>071-5078 Main compressor 3rd stage inlet manual valve</t>
        </is>
      </c>
      <c r="B105">
        <f>SEARCH(" ",A105)</f>
        <v/>
      </c>
      <c r="C105">
        <f>LEFT(A105,B105-1)</f>
        <v/>
      </c>
      <c r="D105">
        <f>LEN(A105)</f>
        <v/>
      </c>
      <c r="E105">
        <f>RIGHT(A105,D105-B105)</f>
        <v/>
      </c>
    </row>
    <row r="106">
      <c r="A106" t="inlineStr">
        <is>
          <t xml:space="preserve">071-SDV-1032 Main compressor 3rd stage inlet shutdown valve </t>
        </is>
      </c>
      <c r="B106">
        <f>SEARCH(" ",A106)</f>
        <v/>
      </c>
      <c r="C106">
        <f>LEFT(A106,B106-1)</f>
        <v/>
      </c>
      <c r="D106">
        <f>LEN(A106)</f>
        <v/>
      </c>
      <c r="E106">
        <f>RIGHT(A106,D106-B106)</f>
        <v/>
      </c>
    </row>
    <row r="107">
      <c r="A107" t="inlineStr">
        <is>
          <t xml:space="preserve">071-SDV-1033 Main compressor 3rd stage inlet pressurization bypass shutdown valve </t>
        </is>
      </c>
      <c r="B107">
        <f>SEARCH(" ",A107)</f>
        <v/>
      </c>
      <c r="C107">
        <f>LEFT(A107,B107-1)</f>
        <v/>
      </c>
      <c r="D107">
        <f>LEN(A107)</f>
        <v/>
      </c>
      <c r="E107">
        <f>RIGHT(A107,D107-B107)</f>
        <v/>
      </c>
    </row>
    <row r="108">
      <c r="A108" t="inlineStr">
        <is>
          <t>071-PCV-1087 Main compressor 3rd stage inlet pressure control valve</t>
        </is>
      </c>
      <c r="B108">
        <f>SEARCH(" ",A108)</f>
        <v/>
      </c>
      <c r="C108">
        <f>LEFT(A108,B108-1)</f>
        <v/>
      </c>
      <c r="D108">
        <f>LEN(A108)</f>
        <v/>
      </c>
      <c r="E108">
        <f>RIGHT(A108,D108-B108)</f>
        <v/>
      </c>
    </row>
    <row r="109">
      <c r="B109">
        <f>SEARCH(" ",A109)</f>
        <v/>
      </c>
      <c r="C109">
        <f>LEFT(A109,B109-1)</f>
        <v/>
      </c>
      <c r="D109">
        <f>LEN(A109)</f>
        <v/>
      </c>
      <c r="E109">
        <f>RIGHT(A109,D109-B109)</f>
        <v/>
      </c>
    </row>
    <row r="110">
      <c r="A110" t="inlineStr">
        <is>
          <t xml:space="preserve">071-5103 071-PSV-1011 up stream valve </t>
        </is>
      </c>
      <c r="B110">
        <f>SEARCH(" ",A110)</f>
        <v/>
      </c>
      <c r="C110">
        <f>LEFT(A110,B110-1)</f>
        <v/>
      </c>
      <c r="D110">
        <f>LEN(A110)</f>
        <v/>
      </c>
      <c r="E110">
        <f>RIGHT(A110,D110-B110)</f>
        <v/>
      </c>
    </row>
    <row r="111">
      <c r="A111" t="inlineStr">
        <is>
          <t xml:space="preserve">071-5106 071-PSV-1011 down stream valve </t>
        </is>
      </c>
      <c r="B111">
        <f>SEARCH(" ",A111)</f>
        <v/>
      </c>
      <c r="C111">
        <f>LEFT(A111,B111-1)</f>
        <v/>
      </c>
      <c r="D111">
        <f>LEN(A111)</f>
        <v/>
      </c>
      <c r="E111">
        <f>RIGHT(A111,D111-B111)</f>
        <v/>
      </c>
    </row>
    <row r="112">
      <c r="A112" t="inlineStr">
        <is>
          <t xml:space="preserve">071-SDV-1034 3rd stage suction scrubber MBF-2395 level shutdown valve </t>
        </is>
      </c>
      <c r="B112">
        <f>SEARCH(" ",A112)</f>
        <v/>
      </c>
      <c r="C112">
        <f>LEFT(A112,B112-1)</f>
        <v/>
      </c>
      <c r="D112">
        <f>LEN(A112)</f>
        <v/>
      </c>
      <c r="E112">
        <f>RIGHT(A112,D112-B112)</f>
        <v/>
      </c>
    </row>
    <row r="113">
      <c r="A113" t="inlineStr">
        <is>
          <t xml:space="preserve">071-LCV-1012 3rd stage suction scrubber MBF-2395 level control valve </t>
        </is>
      </c>
      <c r="B113">
        <f>SEARCH(" ",A113)</f>
        <v/>
      </c>
      <c r="C113">
        <f>LEFT(A113,B113-1)</f>
        <v/>
      </c>
      <c r="D113">
        <f>LEN(A113)</f>
        <v/>
      </c>
      <c r="E113">
        <f>RIGHT(A113,D113-B113)</f>
        <v/>
      </c>
    </row>
    <row r="114">
      <c r="A114" t="inlineStr">
        <is>
          <t>071-5101 071-LCV-1012 downstream valve</t>
        </is>
      </c>
      <c r="B114">
        <f>SEARCH(" ",A114)</f>
        <v/>
      </c>
      <c r="C114">
        <f>LEFT(A114,B114-1)</f>
        <v/>
      </c>
      <c r="D114">
        <f>LEN(A114)</f>
        <v/>
      </c>
      <c r="E114">
        <f>RIGHT(A114,D114-B114)</f>
        <v/>
      </c>
    </row>
    <row r="115">
      <c r="A115" t="inlineStr">
        <is>
          <t xml:space="preserve">084-5089 3rd stage suction scrubber MBF-2395 closed drain valve </t>
        </is>
      </c>
      <c r="B115">
        <f>SEARCH(" ",A115)</f>
        <v/>
      </c>
      <c r="C115">
        <f>LEFT(A115,B115-1)</f>
        <v/>
      </c>
      <c r="D115">
        <f>LEN(A115)</f>
        <v/>
      </c>
      <c r="E115">
        <f>RIGHT(A115,D115-B115)</f>
        <v/>
      </c>
    </row>
    <row r="116">
      <c r="A116" t="inlineStr">
        <is>
          <t xml:space="preserve">084-5091 3rd stage suction scrubber MBF-2395 closed drain header valve </t>
        </is>
      </c>
      <c r="B116">
        <f>SEARCH(" ",A116)</f>
        <v/>
      </c>
      <c r="C116">
        <f>LEFT(A116,B116-1)</f>
        <v/>
      </c>
      <c r="D116">
        <f>LEN(A116)</f>
        <v/>
      </c>
      <c r="E116">
        <f>RIGHT(A116,D116-B116)</f>
        <v/>
      </c>
    </row>
    <row r="117">
      <c r="A117" t="inlineStr">
        <is>
          <t xml:space="preserve">071-5115 071-SP-2411 3rd stage suction sample upstream isolation device </t>
        </is>
      </c>
      <c r="B117">
        <f>SEARCH(" ",A117)</f>
        <v/>
      </c>
      <c r="C117">
        <f>LEFT(A117,B117-1)</f>
        <v/>
      </c>
      <c r="D117">
        <f>LEN(A117)</f>
        <v/>
      </c>
      <c r="E117">
        <f>RIGHT(A117,D117-B117)</f>
        <v/>
      </c>
    </row>
    <row r="118">
      <c r="A118" t="inlineStr">
        <is>
          <t xml:space="preserve">071-FCV-1024 3rd stage discharge recycle flow control valve (anti-surge control)  </t>
        </is>
      </c>
      <c r="B118">
        <f>SEARCH(" ",A118)</f>
        <v/>
      </c>
      <c r="C118">
        <f>LEFT(A118,B118-1)</f>
        <v/>
      </c>
      <c r="D118">
        <f>LEN(A118)</f>
        <v/>
      </c>
      <c r="E118">
        <f>RIGHT(A118,D118-B118)</f>
        <v/>
      </c>
    </row>
    <row r="119">
      <c r="A119" t="inlineStr">
        <is>
          <t xml:space="preserve">071-PCV-1084 3rd stage discharge recycle flow control valve (capacity control) </t>
        </is>
      </c>
      <c r="B119">
        <f>SEARCH(" ",A119)</f>
        <v/>
      </c>
      <c r="C119">
        <f>LEFT(A119,B119-1)</f>
        <v/>
      </c>
      <c r="D119">
        <f>LEN(A119)</f>
        <v/>
      </c>
      <c r="E119">
        <f>RIGHT(A119,D119-B119)</f>
        <v/>
      </c>
    </row>
    <row r="120">
      <c r="A120" t="inlineStr">
        <is>
          <t>071-5118 071-PSV-1012 up stream isolation valve</t>
        </is>
      </c>
      <c r="B120">
        <f>SEARCH(" ",A120)</f>
        <v/>
      </c>
      <c r="C120">
        <f>LEFT(A120,B120-1)</f>
        <v/>
      </c>
      <c r="D120">
        <f>LEN(A120)</f>
        <v/>
      </c>
      <c r="E120">
        <f>RIGHT(A120,D120-B120)</f>
        <v/>
      </c>
    </row>
    <row r="121">
      <c r="A121" t="inlineStr">
        <is>
          <t xml:space="preserve">080-5121 071-PSV-1012 down stream isolation valve </t>
        </is>
      </c>
      <c r="B121">
        <f>SEARCH(" ",A121)</f>
        <v/>
      </c>
      <c r="C121">
        <f>LEFT(A121,B121-1)</f>
        <v/>
      </c>
      <c r="D121">
        <f>LEN(A121)</f>
        <v/>
      </c>
      <c r="E121">
        <f>RIGHT(A121,D121-B121)</f>
        <v/>
      </c>
    </row>
    <row r="122">
      <c r="A122" t="inlineStr">
        <is>
          <t xml:space="preserve">104-5139 Cooling medium supply to HGB-2365 isolation valve </t>
        </is>
      </c>
      <c r="B122">
        <f>SEARCH(" ",A122)</f>
        <v/>
      </c>
      <c r="C122">
        <f>LEFT(A122,B122-1)</f>
        <v/>
      </c>
      <c r="D122">
        <f>LEN(A122)</f>
        <v/>
      </c>
      <c r="E122">
        <f>RIGHT(A122,D122-B122)</f>
        <v/>
      </c>
    </row>
    <row r="123">
      <c r="A123" t="inlineStr">
        <is>
          <t>071-TCV-1040 Temperature control valve on cooling medium return from 3rd stage discharge cooler</t>
        </is>
      </c>
      <c r="B123">
        <f>SEARCH(" ",A123)</f>
        <v/>
      </c>
      <c r="C123">
        <f>LEFT(A123,B123-1)</f>
        <v/>
      </c>
      <c r="D123">
        <f>LEN(A123)</f>
        <v/>
      </c>
      <c r="E123">
        <f>RIGHT(A123,D123-B123)</f>
        <v/>
      </c>
    </row>
    <row r="124">
      <c r="A124" t="inlineStr">
        <is>
          <t xml:space="preserve">104-5151 Cooling medium return header isolation valve </t>
        </is>
      </c>
      <c r="B124">
        <f>SEARCH(" ",A124)</f>
        <v/>
      </c>
      <c r="C124">
        <f>LEFT(A124,B124-1)</f>
        <v/>
      </c>
      <c r="D124">
        <f>LEN(A124)</f>
        <v/>
      </c>
      <c r="E124">
        <f>RIGHT(A124,D124-B124)</f>
        <v/>
      </c>
    </row>
    <row r="125">
      <c r="A125" t="inlineStr">
        <is>
          <t>071-BDV-1038 3rd stage discharge blowdown valve</t>
        </is>
      </c>
      <c r="B125">
        <f>SEARCH(" ",A125)</f>
        <v/>
      </c>
      <c r="C125">
        <f>LEFT(A125,B125-1)</f>
        <v/>
      </c>
      <c r="D125">
        <f>LEN(A125)</f>
        <v/>
      </c>
      <c r="E125">
        <f>RIGHT(A125,D125-B125)</f>
        <v/>
      </c>
    </row>
    <row r="126">
      <c r="A126" t="inlineStr">
        <is>
          <t xml:space="preserve">071-5136 071-BDV-1038 downstream isolation valve </t>
        </is>
      </c>
      <c r="B126">
        <f>SEARCH(" ",A126)</f>
        <v/>
      </c>
      <c r="C126">
        <f>LEFT(A126,B126-1)</f>
        <v/>
      </c>
      <c r="D126">
        <f>LEN(A126)</f>
        <v/>
      </c>
      <c r="E126">
        <f>RIGHT(A126,D126-B126)</f>
        <v/>
      </c>
    </row>
    <row r="127">
      <c r="A127" t="inlineStr">
        <is>
          <t>071-5137/38 071-BDV-1038 by-pass valves</t>
        </is>
      </c>
      <c r="B127">
        <f>SEARCH(" ",A127)</f>
        <v/>
      </c>
      <c r="C127">
        <f>LEFT(A127,B127-1)</f>
        <v/>
      </c>
      <c r="D127">
        <f>LEN(A127)</f>
        <v/>
      </c>
      <c r="E127">
        <f>RIGHT(A127,D127-B127)</f>
        <v/>
      </c>
    </row>
    <row r="128">
      <c r="A128" t="inlineStr">
        <is>
          <t xml:space="preserve">071-SDV-1035 3rd stage discharge outlet shutdown isolation valve  </t>
        </is>
      </c>
      <c r="B128">
        <f>SEARCH(" ",A128)</f>
        <v/>
      </c>
      <c r="C128">
        <f>LEFT(A128,B128-1)</f>
        <v/>
      </c>
      <c r="D128">
        <f>LEN(A128)</f>
        <v/>
      </c>
      <c r="E128">
        <f>RIGHT(A128,D128-B128)</f>
        <v/>
      </c>
    </row>
    <row r="129">
      <c r="A129" t="inlineStr">
        <is>
          <t xml:space="preserve">071-SDV-1036 3rd stage discharge outlet pressurization bypass shutdown valve </t>
        </is>
      </c>
      <c r="B129">
        <f>SEARCH(" ",A129)</f>
        <v/>
      </c>
      <c r="C129">
        <f>LEFT(A129,B129-1)</f>
        <v/>
      </c>
      <c r="D129">
        <f>LEN(A129)</f>
        <v/>
      </c>
      <c r="E129">
        <f>RIGHT(A129,D129-B129)</f>
        <v/>
      </c>
    </row>
    <row r="130">
      <c r="A130" t="inlineStr">
        <is>
          <t>071-5134 3rd stage discharge outlet isolation valve</t>
        </is>
      </c>
      <c r="B130">
        <f>SEARCH(" ",A130)</f>
        <v/>
      </c>
      <c r="C130">
        <f>LEFT(A130,B130-1)</f>
        <v/>
      </c>
      <c r="D130">
        <f>LEN(A130)</f>
        <v/>
      </c>
      <c r="E130">
        <f>RIGHT(A130,D130-B130)</f>
        <v/>
      </c>
    </row>
    <row r="131">
      <c r="B131">
        <f>SEARCH(" ",A131)</f>
        <v/>
      </c>
      <c r="C131">
        <f>LEFT(A131,B131-1)</f>
        <v/>
      </c>
      <c r="D131">
        <f>LEN(A131)</f>
        <v/>
      </c>
      <c r="E131">
        <f>RIGHT(A131,D131-B131)</f>
        <v/>
      </c>
    </row>
    <row r="132">
      <c r="A132" t="inlineStr">
        <is>
          <t>104-5145 071-PSV-1030 up stream isolation valve</t>
        </is>
      </c>
      <c r="B132">
        <f>SEARCH(" ",A132)</f>
        <v/>
      </c>
      <c r="C132">
        <f>LEFT(A132,B132-1)</f>
        <v/>
      </c>
      <c r="D132">
        <f>LEN(A132)</f>
        <v/>
      </c>
      <c r="E132">
        <f>RIGHT(A132,D132-B132)</f>
        <v/>
      </c>
    </row>
    <row r="133">
      <c r="A133" t="inlineStr">
        <is>
          <t>071-5135 Ethanol injection point isolation valves</t>
        </is>
      </c>
      <c r="B133">
        <f>SEARCH(" ",A133)</f>
        <v/>
      </c>
      <c r="C133">
        <f>LEFT(A133,B133-1)</f>
        <v/>
      </c>
      <c r="D133">
        <f>LEN(A133)</f>
        <v/>
      </c>
      <c r="E133">
        <f>RIGHT(A133,D133-B133)</f>
        <v/>
      </c>
    </row>
    <row r="134">
      <c r="A134" t="inlineStr">
        <is>
          <t xml:space="preserve">104-5155 Cooling medium supply to CM-2341 isolation valve </t>
        </is>
      </c>
      <c r="B134">
        <f>SEARCH(" ",A134)</f>
        <v/>
      </c>
      <c r="C134">
        <f>LEFT(A134,B134-1)</f>
        <v/>
      </c>
      <c r="D134">
        <f>LEN(A134)</f>
        <v/>
      </c>
      <c r="E134">
        <f>RIGHT(A134,D134-B134)</f>
        <v/>
      </c>
    </row>
    <row r="135">
      <c r="A135" t="inlineStr">
        <is>
          <t xml:space="preserve">104-5160 Cooling medium return from CM-2341 isolation valve  </t>
        </is>
      </c>
      <c r="B135">
        <f>SEARCH(" ",A135)</f>
        <v/>
      </c>
      <c r="C135">
        <f>LEFT(A135,B135-1)</f>
        <v/>
      </c>
      <c r="D135">
        <f>LEN(A135)</f>
        <v/>
      </c>
      <c r="E135">
        <f>RIGHT(A135,D135-B135)</f>
        <v/>
      </c>
    </row>
    <row r="136">
      <c r="A136" t="inlineStr">
        <is>
          <t xml:space="preserve">104-5165 Cooling medium supply to ZZZ-2341 isolation valve </t>
        </is>
      </c>
      <c r="B136">
        <f>SEARCH(" ",A136)</f>
        <v/>
      </c>
      <c r="C136">
        <f>LEFT(A136,B136-1)</f>
        <v/>
      </c>
      <c r="D136">
        <f>LEN(A136)</f>
        <v/>
      </c>
      <c r="E136">
        <f>RIGHT(A136,D136-B136)</f>
        <v/>
      </c>
    </row>
    <row r="137">
      <c r="A137" t="inlineStr">
        <is>
          <t xml:space="preserve">104-5168 Cooling medium return from ZZZ-2341 isolation valve </t>
        </is>
      </c>
      <c r="B137">
        <f>SEARCH(" ",A137)</f>
        <v/>
      </c>
      <c r="C137">
        <f>LEFT(A137,B137-1)</f>
        <v/>
      </c>
      <c r="D137">
        <f>LEN(A137)</f>
        <v/>
      </c>
      <c r="E137">
        <f>RIGHT(A137,D137-B137)</f>
        <v/>
      </c>
    </row>
    <row r="138">
      <c r="A138" t="inlineStr">
        <is>
          <t>084-5177 CAE-2340/45 closed drain header isolation valve</t>
        </is>
      </c>
      <c r="B138">
        <f>SEARCH(" ",A138)</f>
        <v/>
      </c>
      <c r="C138">
        <f>LEFT(A138,B138-1)</f>
        <v/>
      </c>
      <c r="D138">
        <f>LEN(A138)</f>
        <v/>
      </c>
      <c r="E138">
        <f>RIGHT(A138,D138-B138)</f>
        <v/>
      </c>
    </row>
    <row r="139">
      <c r="A139" t="inlineStr">
        <is>
          <t xml:space="preserve">104-5178 Cooling medium supply to CM-2351 isolation valve </t>
        </is>
      </c>
      <c r="B139">
        <f>SEARCH(" ",A139)</f>
        <v/>
      </c>
      <c r="C139">
        <f>LEFT(A139,B139-1)</f>
        <v/>
      </c>
      <c r="D139">
        <f>LEN(A139)</f>
        <v/>
      </c>
      <c r="E139">
        <f>RIGHT(A139,D139-B139)</f>
        <v/>
      </c>
    </row>
    <row r="140">
      <c r="A140" t="inlineStr">
        <is>
          <t xml:space="preserve">104-5183 Cooling medium return from CM-2351 isolation valve </t>
        </is>
      </c>
      <c r="B140">
        <f>SEARCH(" ",A140)</f>
        <v/>
      </c>
      <c r="C140">
        <f>LEFT(A140,B140-1)</f>
        <v/>
      </c>
      <c r="D140">
        <f>LEN(A140)</f>
        <v/>
      </c>
      <c r="E140">
        <f>RIGHT(A140,D140-B140)</f>
        <v/>
      </c>
    </row>
    <row r="141">
      <c r="A141" t="inlineStr">
        <is>
          <t xml:space="preserve">104-5184 Cooling medium supply to ZZZ-2351 isolation valve  </t>
        </is>
      </c>
      <c r="B141">
        <f>SEARCH(" ",A141)</f>
        <v/>
      </c>
      <c r="C141">
        <f>LEFT(A141,B141-1)</f>
        <v/>
      </c>
      <c r="D141">
        <f>LEN(A141)</f>
        <v/>
      </c>
      <c r="E141">
        <f>RIGHT(A141,D141-B141)</f>
        <v/>
      </c>
    </row>
    <row r="142">
      <c r="A142" t="inlineStr">
        <is>
          <t xml:space="preserve">104-5187 Cooling medium return from ZZZ-1351 isolation valve </t>
        </is>
      </c>
      <c r="B142">
        <f>SEARCH(" ",A142)</f>
        <v/>
      </c>
      <c r="C142">
        <f>LEFT(A142,B142-1)</f>
        <v/>
      </c>
      <c r="D142">
        <f>LEN(A142)</f>
        <v/>
      </c>
      <c r="E142">
        <f>RIGHT(A142,D142-B142)</f>
        <v/>
      </c>
    </row>
    <row r="143">
      <c r="A143" t="inlineStr">
        <is>
          <t>084-5195 CAE-2350 closed drain header isolation valve</t>
        </is>
      </c>
      <c r="B143">
        <f>SEARCH(" ",A143)</f>
        <v/>
      </c>
      <c r="C143">
        <f>LEFT(A143,B143-1)</f>
        <v/>
      </c>
      <c r="D143">
        <f>LEN(A143)</f>
        <v/>
      </c>
      <c r="E143">
        <f>RIGHT(A143,D143-B143)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tabSelected="1" view="pageBreakPreview" topLeftCell="A16" zoomScaleNormal="100" zoomScaleSheetLayoutView="100" workbookViewId="0">
      <selection activeCell="B35" sqref="B35:I35"/>
    </sheetView>
  </sheetViews>
  <sheetFormatPr baseColWidth="8" defaultColWidth="9.1796875" defaultRowHeight="12"/>
  <cols>
    <col width="1.26953125" customWidth="1" style="29" min="1" max="1"/>
    <col width="23" customWidth="1" style="29" min="2" max="2"/>
    <col width="22" customWidth="1" style="29" min="3" max="3"/>
    <col width="18.453125" customWidth="1" style="29" min="4" max="4"/>
    <col width="23.453125" bestFit="1" customWidth="1" style="29" min="5" max="5"/>
    <col width="20.453125" customWidth="1" style="29" min="6" max="6"/>
    <col width="8.1796875" customWidth="1" style="29" min="7" max="7"/>
    <col width="8" customWidth="1" style="29" min="8" max="9"/>
    <col width="9.1796875" customWidth="1" style="29" min="10" max="20"/>
    <col width="9.1796875" customWidth="1" style="29" min="21" max="16384"/>
  </cols>
  <sheetData>
    <row r="2" ht="37.5" customHeight="1">
      <c r="B2" s="34" t="inlineStr">
        <is>
          <t>Análise Crítica de Calibração dos Sensores de Temperatura</t>
        </is>
      </c>
    </row>
    <row r="3">
      <c r="B3" s="4" t="n"/>
      <c r="C3" s="4" t="n"/>
      <c r="D3" s="4" t="n"/>
      <c r="E3" s="4" t="n"/>
      <c r="F3" s="4" t="n"/>
      <c r="G3" s="4" t="n"/>
      <c r="H3" s="4" t="n"/>
      <c r="I3" s="1" t="n"/>
    </row>
    <row r="4" ht="3" customHeight="1">
      <c r="B4" s="28" t="inlineStr">
        <is>
          <t>Documento Principal: GEN-VAR-PRO-RM-2 - Verificar Metrologicamente Equipamentos de Medição – Sistema de Gestão de Medição (SGM)</t>
        </is>
      </c>
    </row>
    <row r="5" ht="0.75" customHeight="1"/>
    <row r="6">
      <c r="B6" s="36" t="n"/>
      <c r="J6" s="3" t="n"/>
    </row>
    <row r="7" ht="15" customHeight="1">
      <c r="B7" s="6" t="inlineStr">
        <is>
          <t>Unidade:</t>
        </is>
      </c>
      <c r="C7" s="35" t="inlineStr">
        <is>
          <t>FPSO FORTE</t>
        </is>
      </c>
      <c r="D7" s="20" t="n"/>
      <c r="E7" s="6" t="inlineStr">
        <is>
          <t>TAG do instrumento:</t>
        </is>
      </c>
      <c r="F7" s="31" t="inlineStr">
        <is>
          <t>FIT-1231010A-TT</t>
        </is>
      </c>
      <c r="G7" s="19" t="n"/>
      <c r="H7" s="19" t="n"/>
      <c r="I7" s="20" t="n"/>
    </row>
    <row r="8" ht="14.5" customHeight="1">
      <c r="B8" s="6" t="inlineStr">
        <is>
          <t>Localização:</t>
        </is>
      </c>
      <c r="C8" s="18" t="inlineStr">
        <is>
          <t>Gás Lift A- Poço ABL-81</t>
        </is>
      </c>
      <c r="D8" s="20" t="n"/>
      <c r="E8" s="6" t="inlineStr">
        <is>
          <t>Número do Certificado:</t>
        </is>
      </c>
      <c r="F8" s="18" t="inlineStr">
        <is>
          <t>25 - ODS - 70 - TEM - 456</t>
        </is>
      </c>
      <c r="G8" s="19" t="n"/>
      <c r="H8" s="19" t="n"/>
      <c r="I8" s="20" t="n"/>
    </row>
    <row r="9" ht="14.5" customHeight="1">
      <c r="B9" s="6" t="inlineStr">
        <is>
          <t>Data de Calibração:</t>
        </is>
      </c>
      <c r="C9" s="26" t="inlineStr">
        <is>
          <t>22/11/2025</t>
        </is>
      </c>
      <c r="D9" s="20" t="n"/>
      <c r="E9" s="6" t="inlineStr">
        <is>
          <t>Empresa Certificadora:</t>
        </is>
      </c>
      <c r="F9" s="18" t="inlineStr">
        <is>
          <t>ODS Metering Systems</t>
        </is>
      </c>
      <c r="G9" s="19" t="n"/>
      <c r="H9" s="19" t="n"/>
      <c r="I9" s="20" t="n"/>
    </row>
    <row r="11" ht="15" customHeight="1"/>
    <row r="12" ht="12.75" customHeight="1">
      <c r="B12" s="22" t="inlineStr">
        <is>
          <t>1.1 Descrição dos itens a serem verificados</t>
        </is>
      </c>
      <c r="C12" s="19" t="n"/>
      <c r="D12" s="19" t="n"/>
      <c r="E12" s="19" t="n"/>
      <c r="F12" s="20" t="n"/>
      <c r="G12" s="5" t="inlineStr">
        <is>
          <t>SIM</t>
        </is>
      </c>
      <c r="H12" s="5" t="inlineStr">
        <is>
          <t>NÃO</t>
        </is>
      </c>
      <c r="I12" s="5" t="inlineStr">
        <is>
          <t>N/A</t>
        </is>
      </c>
    </row>
    <row r="13" ht="14.5" customHeight="1">
      <c r="B13" s="21" t="inlineStr">
        <is>
          <t>a) Identificação unívoca (Número do Certificado de Calibração).</t>
        </is>
      </c>
      <c r="C13" s="19" t="n"/>
      <c r="D13" s="19" t="n"/>
      <c r="E13" s="19" t="n"/>
      <c r="F13" s="20" t="n"/>
      <c r="G13" s="14" t="inlineStr">
        <is>
          <t>X</t>
        </is>
      </c>
      <c r="H13" s="14" t="n"/>
      <c r="I13" s="14" t="n"/>
    </row>
    <row r="14" ht="14.5" customHeight="1">
      <c r="B14" s="21" t="inlineStr">
        <is>
          <t>b) Nome e endereço do Laboratório/Empresa.</t>
        </is>
      </c>
      <c r="C14" s="19" t="n"/>
      <c r="D14" s="19" t="n"/>
      <c r="E14" s="19" t="n"/>
      <c r="F14" s="20" t="n"/>
      <c r="G14" s="14" t="inlineStr">
        <is>
          <t>X</t>
        </is>
      </c>
      <c r="H14" s="14" t="n"/>
      <c r="I14" s="14" t="n"/>
    </row>
    <row r="15" ht="14.5" customHeight="1">
      <c r="B15" s="21" t="inlineStr">
        <is>
          <t>c) Logotipo da RBC (para instrumento associado a sistemas de medição fiscal, apropriação, custódia, flare)</t>
        </is>
      </c>
      <c r="C15" s="19" t="n"/>
      <c r="D15" s="19" t="n"/>
      <c r="E15" s="19" t="n"/>
      <c r="F15" s="20" t="n"/>
      <c r="G15" s="14" t="inlineStr">
        <is>
          <t>X</t>
        </is>
      </c>
      <c r="H15" s="14" t="n"/>
      <c r="I15" s="14" t="n"/>
    </row>
    <row r="16" ht="14.5" customHeight="1">
      <c r="B16" s="21" t="inlineStr">
        <is>
          <t>d) Nome e endereço do cliente.</t>
        </is>
      </c>
      <c r="C16" s="19" t="n"/>
      <c r="D16" s="19" t="n"/>
      <c r="E16" s="19" t="n"/>
      <c r="F16" s="20" t="n"/>
      <c r="G16" s="14" t="inlineStr">
        <is>
          <t>X</t>
        </is>
      </c>
      <c r="H16" s="14" t="n"/>
      <c r="I16" s="14" t="n"/>
    </row>
    <row r="17" ht="14.5" customHeight="1">
      <c r="B17" s="21" t="inlineStr">
        <is>
          <t>e) Número de páginas e total de páginas.</t>
        </is>
      </c>
      <c r="C17" s="19" t="n"/>
      <c r="D17" s="19" t="n"/>
      <c r="E17" s="19" t="n"/>
      <c r="F17" s="20" t="n"/>
      <c r="G17" s="14" t="inlineStr">
        <is>
          <t>X</t>
        </is>
      </c>
      <c r="H17" s="14" t="n"/>
      <c r="I17" s="14" t="n"/>
    </row>
    <row r="18" ht="14.5" customHeight="1">
      <c r="B18" s="21" t="inlineStr">
        <is>
          <t>f) Identificação do método/procedimento utilizado.</t>
        </is>
      </c>
      <c r="C18" s="19" t="n"/>
      <c r="D18" s="19" t="n"/>
      <c r="E18" s="19" t="n"/>
      <c r="F18" s="20" t="n"/>
      <c r="G18" s="14" t="inlineStr">
        <is>
          <t>X</t>
        </is>
      </c>
      <c r="H18" s="14" t="n"/>
      <c r="I18" s="14" t="n"/>
    </row>
    <row r="19" ht="14.5" customHeight="1">
      <c r="B19" s="21" t="inlineStr">
        <is>
          <t>g) Registro das condições ambientais.</t>
        </is>
      </c>
      <c r="C19" s="19" t="n"/>
      <c r="D19" s="19" t="n"/>
      <c r="E19" s="19" t="n"/>
      <c r="F19" s="20" t="n"/>
      <c r="G19" s="14" t="inlineStr">
        <is>
          <t>X</t>
        </is>
      </c>
      <c r="H19" s="14" t="n"/>
      <c r="I19" s="14" t="n"/>
    </row>
    <row r="20" ht="14.5" customHeight="1">
      <c r="B20" s="21" t="inlineStr">
        <is>
          <t>h) Descrição e identificação do item de calibração (ex.: nome, fabricante, tipo, modelo, número de série, etc).</t>
        </is>
      </c>
      <c r="C20" s="19" t="n"/>
      <c r="D20" s="19" t="n"/>
      <c r="E20" s="19" t="n"/>
      <c r="F20" s="20" t="n"/>
      <c r="G20" s="14" t="inlineStr">
        <is>
          <t>X</t>
        </is>
      </c>
      <c r="H20" s="14" t="n"/>
      <c r="I20" s="14" t="n"/>
    </row>
    <row r="21" ht="14.5" customHeight="1">
      <c r="B21" s="21" t="inlineStr">
        <is>
          <t>i) A data do recebimento do(s) item(s) de calibração, se necessário.</t>
        </is>
      </c>
      <c r="C21" s="19" t="n"/>
      <c r="D21" s="19" t="n"/>
      <c r="E21" s="19" t="n"/>
      <c r="F21" s="20" t="n"/>
      <c r="G21" s="14" t="n"/>
      <c r="H21" s="14" t="n"/>
      <c r="I21" s="14" t="inlineStr">
        <is>
          <t>X</t>
        </is>
      </c>
    </row>
    <row r="22" ht="14.5" customHeight="1">
      <c r="B22" s="21" t="inlineStr">
        <is>
          <t>j) A data da realização da calibração.</t>
        </is>
      </c>
      <c r="C22" s="19" t="n"/>
      <c r="D22" s="19" t="n"/>
      <c r="E22" s="19" t="n"/>
      <c r="F22" s="20" t="n"/>
      <c r="G22" s="14" t="inlineStr">
        <is>
          <t>X</t>
        </is>
      </c>
      <c r="H22" s="14" t="n"/>
      <c r="I22" s="14" t="n"/>
    </row>
    <row r="23" ht="14.5" customHeight="1">
      <c r="B23" s="21" t="inlineStr">
        <is>
          <t>k) Os resultados da calibração estão com as unidades de medida no SI, onde apropriado.</t>
        </is>
      </c>
      <c r="C23" s="19" t="n"/>
      <c r="D23" s="19" t="n"/>
      <c r="E23" s="19" t="n"/>
      <c r="F23" s="20" t="n"/>
      <c r="G23" s="14" t="inlineStr">
        <is>
          <t>X</t>
        </is>
      </c>
      <c r="H23" s="14" t="n"/>
      <c r="I23" s="14" t="n"/>
    </row>
    <row r="24" ht="14.5" customHeight="1">
      <c r="B24" s="21" t="inlineStr">
        <is>
          <t>l) Evidências de que as medições são rastreáveis (Informações dos padrões utilizados).</t>
        </is>
      </c>
      <c r="C24" s="19" t="n"/>
      <c r="D24" s="19" t="n"/>
      <c r="E24" s="19" t="n"/>
      <c r="F24" s="20" t="n"/>
      <c r="G24" s="14" t="inlineStr">
        <is>
          <t>X</t>
        </is>
      </c>
      <c r="H24" s="14" t="n"/>
      <c r="I24" s="14" t="n"/>
    </row>
    <row r="25" ht="24.75" customHeight="1">
      <c r="B25" s="21" t="inlineStr">
        <is>
          <t>m) Nome(s), função (ões) e assinatura (s) ou identificações equivalentes das pessoas autorizadas para emissão do certificado.</t>
        </is>
      </c>
      <c r="C25" s="19" t="n"/>
      <c r="D25" s="19" t="n"/>
      <c r="E25" s="19" t="n"/>
      <c r="F25" s="20" t="n"/>
      <c r="G25" s="14" t="inlineStr">
        <is>
          <t>X</t>
        </is>
      </c>
      <c r="H25" s="14" t="n"/>
      <c r="I25" s="14" t="n"/>
    </row>
    <row r="26" ht="14.5" customHeight="1">
      <c r="B26" s="21" t="inlineStr">
        <is>
          <t>n) Declaração de que os resultados e incertezas se referem somente aos itens calibrados / inspecionados.</t>
        </is>
      </c>
      <c r="C26" s="19" t="n"/>
      <c r="D26" s="19" t="n"/>
      <c r="E26" s="19" t="n"/>
      <c r="F26" s="20" t="n"/>
      <c r="G26" s="14" t="inlineStr">
        <is>
          <t>X</t>
        </is>
      </c>
      <c r="H26" s="14" t="n"/>
      <c r="I26" s="14" t="n"/>
    </row>
    <row r="27" ht="14.5" customHeight="1">
      <c r="B27" s="21" t="inlineStr">
        <is>
          <t>o) Nível de confiança e fator de abrangência.</t>
        </is>
      </c>
      <c r="C27" s="19" t="n"/>
      <c r="D27" s="19" t="n"/>
      <c r="E27" s="19" t="n"/>
      <c r="F27" s="20" t="n"/>
      <c r="G27" s="14" t="inlineStr">
        <is>
          <t>X</t>
        </is>
      </c>
      <c r="H27" s="14" t="n"/>
      <c r="I27" s="14" t="n"/>
    </row>
    <row r="28" ht="14.5" customHeight="1">
      <c r="B28" s="21" t="inlineStr">
        <is>
          <t xml:space="preserve">p) Foi feita calibração de acordo com a faixa solicitada? </t>
        </is>
      </c>
      <c r="C28" s="19" t="n"/>
      <c r="D28" s="19" t="n"/>
      <c r="E28" s="19" t="n"/>
      <c r="F28" s="20" t="n"/>
      <c r="G28" s="14" t="inlineStr">
        <is>
          <t>X</t>
        </is>
      </c>
      <c r="H28" s="14" t="n"/>
      <c r="I28" s="14" t="n"/>
    </row>
    <row r="29" ht="24.75" customHeight="1">
      <c r="B29" s="21" t="inlineStr">
        <is>
          <t>q) Os erros máximos de medição (Erro sistemático remanescente + incerteza) são inferiores ao erro máximo admissível para o equipamento em questão?</t>
        </is>
      </c>
      <c r="C29" s="19" t="n"/>
      <c r="D29" s="19" t="n"/>
      <c r="E29" s="19" t="n"/>
      <c r="F29" s="20" t="n"/>
      <c r="G29" s="14" t="inlineStr">
        <is>
          <t>X</t>
        </is>
      </c>
      <c r="H29" s="14" t="n"/>
      <c r="I29" s="14" t="n"/>
    </row>
    <row r="30" ht="25.5" customHeight="1">
      <c r="B30" s="21" t="inlineStr">
        <is>
          <t>r) O instrumento está aprovado para o uso no ponto de medição a que se destina de acordo com os critérios de aceitação informados pelo cliente?</t>
        </is>
      </c>
      <c r="C30" s="19" t="n"/>
      <c r="D30" s="19" t="n"/>
      <c r="E30" s="19" t="n"/>
      <c r="F30" s="20" t="n"/>
      <c r="G30" s="14" t="inlineStr">
        <is>
          <t>X</t>
        </is>
      </c>
      <c r="H30" s="14" t="n"/>
      <c r="I30" s="14" t="n"/>
    </row>
    <row r="31" ht="25.5" customHeight="1">
      <c r="B31" s="21" t="inlineStr">
        <is>
          <t>s) No caso de ajuste no equipamento, estão informados os resultados das calibrações como encontrados (as found) e como deixados (as left)?</t>
        </is>
      </c>
      <c r="C31" s="19" t="n"/>
      <c r="D31" s="19" t="n"/>
      <c r="E31" s="19" t="n"/>
      <c r="F31" s="20" t="n"/>
      <c r="G31" s="14" t="n"/>
      <c r="H31" s="14" t="n"/>
      <c r="I31" s="14" t="inlineStr">
        <is>
          <t>X</t>
        </is>
      </c>
    </row>
    <row r="32" ht="27" customHeight="1">
      <c r="B32" s="32" t="inlineStr">
        <is>
          <t>1.2 É recomendado que o relatório de análise contenha uma declaração especificando que o mesmo só deve ser reproduzido completo.  Reprodução de partes requer aprovação escrita do emitente. O relatório apresentado atende esta recomendação?</t>
        </is>
      </c>
      <c r="C32" s="19" t="n"/>
      <c r="D32" s="19" t="n"/>
      <c r="E32" s="19" t="n"/>
      <c r="F32" s="19" t="n"/>
      <c r="G32" s="19" t="n"/>
      <c r="H32" s="19" t="n"/>
      <c r="I32" s="20" t="n"/>
    </row>
    <row r="33" ht="66.75" customHeight="1">
      <c r="B33" s="30" t="inlineStr">
        <is>
          <t xml:space="preserve">( X )   Sim      (   ) Não
OBSERVAÇÕES:
</t>
        </is>
      </c>
      <c r="C33" s="19" t="n"/>
      <c r="D33" s="19" t="n"/>
      <c r="E33" s="19" t="n"/>
      <c r="F33" s="19" t="n"/>
      <c r="G33" s="19" t="n"/>
      <c r="H33" s="19" t="n"/>
      <c r="I33" s="20" t="n"/>
    </row>
    <row r="34" ht="30.75" customHeight="1">
      <c r="B34" s="32" t="inlineStr">
        <is>
          <t>1.3 Existe alguma informação no documento analisado que necessite ser atualizada em algum outro dispositivo (ex.: range de calibração no computador de vazão)?</t>
        </is>
      </c>
      <c r="C34" s="19" t="n"/>
      <c r="D34" s="19" t="n"/>
      <c r="E34" s="19" t="n"/>
      <c r="F34" s="19" t="n"/>
      <c r="G34" s="19" t="n"/>
      <c r="H34" s="19" t="n"/>
      <c r="I34" s="20" t="n"/>
    </row>
    <row r="35" ht="77.25" customHeight="1">
      <c r="B35" s="30" t="inlineStr">
        <is>
          <r>
            <rPr/>
            <t xml:space="preserve">(  ) Sim ( X ) Não
OBSERVAÇÕES:
</t>
          </r>
        </is>
      </c>
      <c r="C35" s="19" t="n"/>
      <c r="D35" s="19" t="n"/>
      <c r="E35" s="19" t="n"/>
      <c r="F35" s="19" t="n"/>
      <c r="G35" s="19" t="n"/>
      <c r="H35" s="19" t="n"/>
      <c r="I35" s="20" t="n"/>
    </row>
    <row r="36" ht="27.75" customHeight="1">
      <c r="B36" s="32" t="inlineStr">
        <is>
          <t>1.4 De acordo com a data do último ensaio / análise que foi realizada no equipamento / produto, observando a periodicidade estabelecida para realização do mesmo; a periodicidade de realização foi cumprida?</t>
        </is>
      </c>
      <c r="C36" s="19" t="n"/>
      <c r="D36" s="19" t="n"/>
      <c r="E36" s="19" t="n"/>
      <c r="F36" s="19" t="n"/>
      <c r="G36" s="19" t="n"/>
      <c r="H36" s="19" t="n"/>
      <c r="I36" s="20" t="n"/>
    </row>
    <row r="37" ht="63.75" customHeight="1">
      <c r="B37" s="33" t="inlineStr">
        <is>
          <t xml:space="preserve">(   X   )  Sim       (      ) Não
OBSERVAÇÕES: </t>
        </is>
      </c>
      <c r="C37" s="19" t="n"/>
      <c r="D37" s="19" t="n"/>
      <c r="E37" s="19" t="n"/>
      <c r="F37" s="19" t="n"/>
      <c r="G37" s="19" t="n"/>
      <c r="H37" s="19" t="n"/>
      <c r="I37" s="20" t="n"/>
    </row>
    <row r="38" ht="28.5" customHeight="1">
      <c r="B38" s="32" t="inlineStr">
        <is>
          <t>1.5 Conclusão da análise crítica do relatório de calibração.
O certificado está conforme requerimento do cliente e RTM?</t>
        </is>
      </c>
      <c r="C38" s="19" t="n"/>
      <c r="D38" s="19" t="n"/>
      <c r="E38" s="19" t="n"/>
      <c r="F38" s="19" t="n"/>
      <c r="G38" s="19" t="n"/>
      <c r="H38" s="19" t="n"/>
      <c r="I38" s="20" t="n"/>
    </row>
    <row r="39" ht="64.5" customHeight="1">
      <c r="B39" s="23" t="inlineStr">
        <is>
          <t>(   X   )  Sim       (      ) Não*
*Caso a resposta seja “Não”, justifique:</t>
        </is>
      </c>
      <c r="C39" s="24" t="n"/>
      <c r="D39" s="24" t="n"/>
      <c r="E39" s="24" t="n"/>
      <c r="F39" s="24" t="n"/>
      <c r="G39" s="24" t="n"/>
      <c r="H39" s="24" t="n"/>
      <c r="I39" s="25" t="n"/>
    </row>
    <row r="40" ht="33" customHeight="1">
      <c r="B40" s="7" t="n"/>
      <c r="C40" s="8" t="n"/>
      <c r="D40" s="12" t="n"/>
      <c r="E40" s="12" t="n"/>
      <c r="F40" s="13" t="inlineStr">
        <is>
          <t>Data:</t>
        </is>
      </c>
      <c r="G40" s="15" t="n"/>
      <c r="H40" s="17" t="inlineStr">
        <is>
          <t>25/11/2025</t>
        </is>
      </c>
      <c r="I40" s="16" t="n"/>
    </row>
    <row r="41" ht="36" customHeight="1">
      <c r="B41" s="9" t="n"/>
      <c r="C41" s="10" t="n"/>
      <c r="D41" s="27" t="inlineStr">
        <is>
          <t>Responsável pela análise</t>
        </is>
      </c>
      <c r="E41" s="19" t="n"/>
      <c r="F41" s="10" t="n"/>
      <c r="G41" s="10" t="n"/>
      <c r="H41" s="10" t="n"/>
      <c r="I41" s="11" t="n"/>
    </row>
  </sheetData>
  <mergeCells count="38">
    <mergeCell ref="F9:I9"/>
    <mergeCell ref="B16:F16"/>
    <mergeCell ref="B25:F25"/>
    <mergeCell ref="B31:F31"/>
    <mergeCell ref="B22:F22"/>
    <mergeCell ref="B18:F18"/>
    <mergeCell ref="B27:F27"/>
    <mergeCell ref="B21:F21"/>
    <mergeCell ref="B12:F12"/>
    <mergeCell ref="B39:I39"/>
    <mergeCell ref="B23:F23"/>
    <mergeCell ref="D41:E41"/>
    <mergeCell ref="B14:F14"/>
    <mergeCell ref="C9:D9"/>
    <mergeCell ref="B17:F17"/>
    <mergeCell ref="B13:F13"/>
    <mergeCell ref="B4:I5"/>
    <mergeCell ref="B29:F29"/>
    <mergeCell ref="B35:I35"/>
    <mergeCell ref="F7:I7"/>
    <mergeCell ref="B38:I38"/>
    <mergeCell ref="B28:F28"/>
    <mergeCell ref="B34:I34"/>
    <mergeCell ref="B19:F19"/>
    <mergeCell ref="B37:I37"/>
    <mergeCell ref="B2:E2"/>
    <mergeCell ref="C8:D8"/>
    <mergeCell ref="B30:F30"/>
    <mergeCell ref="C7:D7"/>
    <mergeCell ref="B24:F24"/>
    <mergeCell ref="B33:I33"/>
    <mergeCell ref="B20:F20"/>
    <mergeCell ref="B6:I6"/>
    <mergeCell ref="F8:I8"/>
    <mergeCell ref="B15:F15"/>
    <mergeCell ref="B36:I36"/>
    <mergeCell ref="B26:F26"/>
    <mergeCell ref="B32:I32"/>
  </mergeCells>
  <pageMargins left="0.3" right="0.3" top="0.3" bottom="0.3" header="0.31496062" footer="0.31496062"/>
  <pageSetup orientation="portrait" paperSize="9" scale="6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Flavio Augusto Marques Faria</dc:creator>
  <dcterms:created xsi:type="dcterms:W3CDTF">2022-08-06T17:16:56Z</dcterms:created>
  <dcterms:modified xsi:type="dcterms:W3CDTF">2026-01-02T02:29:30Z</dcterms:modified>
  <cp:lastModifiedBy>Matheus Bandeira</cp:lastModifiedBy>
  <cp:lastPrinted>2025-12-28T18:55:33Z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8122742-02e0-4fc8-b886-13159374308f_Enabled" fmtid="{D5CDD505-2E9C-101B-9397-08002B2CF9AE}" pid="2">
    <vt:lpwstr>true</vt:lpwstr>
  </property>
  <property name="MSIP_Label_98122742-02e0-4fc8-b886-13159374308f_SetDate" fmtid="{D5CDD505-2E9C-101B-9397-08002B2CF9AE}" pid="3">
    <vt:lpwstr>2022-08-06T19:43:04Z</vt:lpwstr>
  </property>
  <property name="MSIP_Label_98122742-02e0-4fc8-b886-13159374308f_Method" fmtid="{D5CDD505-2E9C-101B-9397-08002B2CF9AE}" pid="4">
    <vt:lpwstr>Privileged</vt:lpwstr>
  </property>
  <property name="MSIP_Label_98122742-02e0-4fc8-b886-13159374308f_Name" fmtid="{D5CDD505-2E9C-101B-9397-08002B2CF9AE}" pid="5">
    <vt:lpwstr>Informações Restritas</vt:lpwstr>
  </property>
  <property name="MSIP_Label_98122742-02e0-4fc8-b886-13159374308f_SiteId" fmtid="{D5CDD505-2E9C-101B-9397-08002B2CF9AE}" pid="6">
    <vt:lpwstr>0c0bcda4-1b8e-46ab-b56c-4ae3741f4340</vt:lpwstr>
  </property>
  <property name="MSIP_Label_98122742-02e0-4fc8-b886-13159374308f_ActionId" fmtid="{D5CDD505-2E9C-101B-9397-08002B2CF9AE}" pid="7">
    <vt:lpwstr>bbfe5088-d82c-4b83-bbcd-9e94ec253db0</vt:lpwstr>
  </property>
  <property name="MSIP_Label_98122742-02e0-4fc8-b886-13159374308f_ContentBits" fmtid="{D5CDD505-2E9C-101B-9397-08002B2CF9AE}" pid="8">
    <vt:lpwstr>0</vt:lpwstr>
  </property>
  <property name="ContentTypeId" fmtid="{D5CDD505-2E9C-101B-9397-08002B2CF9AE}" pid="9">
    <vt:lpwstr>0x010100E22CB197A24E3E4DA81A36441D05E748</vt:lpwstr>
  </property>
  <property name="MediaServiceImageTags" fmtid="{D5CDD505-2E9C-101B-9397-08002B2CF9AE}" pid="10">
    <vt:lpwstr/>
  </property>
  <property name="Order" fmtid="{D5CDD505-2E9C-101B-9397-08002B2CF9AE}" pid="11">
    <vt:r8>129700</vt:r8>
  </property>
  <property name="xd_Signature" fmtid="{D5CDD505-2E9C-101B-9397-08002B2CF9AE}" pid="12">
    <vt:bool>0</vt:bool>
  </property>
  <property name="xd_ProgID" fmtid="{D5CDD505-2E9C-101B-9397-08002B2CF9AE}" pid="13">
    <vt:lpwstr/>
  </property>
  <property name="ComplianceAssetId" fmtid="{D5CDD505-2E9C-101B-9397-08002B2CF9AE}" pid="14">
    <vt:lpwstr/>
  </property>
  <property name="TemplateUrl" fmtid="{D5CDD505-2E9C-101B-9397-08002B2CF9AE}" pid="15">
    <vt:lpwstr/>
  </property>
  <property name="_ExtendedDescription" fmtid="{D5CDD505-2E9C-101B-9397-08002B2CF9AE}" pid="16">
    <vt:lpwstr/>
  </property>
  <property name="TriggerFlowInfo" fmtid="{D5CDD505-2E9C-101B-9397-08002B2CF9AE}" pid="17">
    <vt:lpwstr/>
  </property>
</Properties>
</file>