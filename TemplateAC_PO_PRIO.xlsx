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6" documentId="11_F24E6D372206B986BEC40660B79E70C2943FE08E" xr6:coauthVersionLast="47" xr6:coauthVersionMax="47" xr10:uidLastSave="{E9B60E41-36A2-4985-8E64-01279A358B71}"/>
  <bookViews>
    <workbookView xWindow="13320" yWindow="-16485" windowWidth="29040" windowHeight="15720" firstSheet="1" activeTab="1" xr2:uid="{00000000-000D-0000-FFFF-FFFF00000000}"/>
  </bookViews>
  <sheets>
    <sheet name="BASE" sheetId="1" state="hidden" r:id="rId1"/>
    <sheet name="Template Formulário" sheetId="2" r:id="rId2"/>
  </sheets>
  <definedNames>
    <definedName name="_xlnm.Print_Area" localSheetId="1">'Template Formulário'!$A$1:$I$51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3" i="1" l="1"/>
  <c r="E143" i="1" s="1"/>
  <c r="B143" i="1"/>
  <c r="C143" i="1" s="1"/>
  <c r="D142" i="1"/>
  <c r="E142" i="1" s="1"/>
  <c r="B142" i="1"/>
  <c r="C142" i="1" s="1"/>
  <c r="D141" i="1"/>
  <c r="E141" i="1" s="1"/>
  <c r="B141" i="1"/>
  <c r="C141" i="1" s="1"/>
  <c r="D140" i="1"/>
  <c r="E140" i="1" s="1"/>
  <c r="B140" i="1"/>
  <c r="C140" i="1" s="1"/>
  <c r="D139" i="1"/>
  <c r="E139" i="1" s="1"/>
  <c r="B139" i="1"/>
  <c r="C139" i="1" s="1"/>
  <c r="D138" i="1"/>
  <c r="E138" i="1" s="1"/>
  <c r="B138" i="1"/>
  <c r="C138" i="1" s="1"/>
  <c r="D137" i="1"/>
  <c r="E137" i="1" s="1"/>
  <c r="B137" i="1"/>
  <c r="C137" i="1" s="1"/>
  <c r="D136" i="1"/>
  <c r="E136" i="1" s="1"/>
  <c r="B136" i="1"/>
  <c r="C136" i="1" s="1"/>
  <c r="D135" i="1"/>
  <c r="E135" i="1" s="1"/>
  <c r="B135" i="1"/>
  <c r="C135" i="1" s="1"/>
  <c r="D134" i="1"/>
  <c r="E134" i="1" s="1"/>
  <c r="B134" i="1"/>
  <c r="C134" i="1" s="1"/>
  <c r="D133" i="1"/>
  <c r="E133" i="1" s="1"/>
  <c r="B133" i="1"/>
  <c r="C133" i="1" s="1"/>
  <c r="D132" i="1"/>
  <c r="E132" i="1" s="1"/>
  <c r="B132" i="1"/>
  <c r="C132" i="1" s="1"/>
  <c r="D131" i="1"/>
  <c r="E131" i="1" s="1"/>
  <c r="B131" i="1"/>
  <c r="C131" i="1" s="1"/>
  <c r="D130" i="1"/>
  <c r="E130" i="1" s="1"/>
  <c r="B130" i="1"/>
  <c r="C130" i="1" s="1"/>
  <c r="D129" i="1"/>
  <c r="E129" i="1" s="1"/>
  <c r="B129" i="1"/>
  <c r="C129" i="1" s="1"/>
  <c r="D128" i="1"/>
  <c r="E128" i="1" s="1"/>
  <c r="B128" i="1"/>
  <c r="C128" i="1" s="1"/>
  <c r="D127" i="1"/>
  <c r="E127" i="1" s="1"/>
  <c r="B127" i="1"/>
  <c r="C127" i="1" s="1"/>
  <c r="D126" i="1"/>
  <c r="E126" i="1" s="1"/>
  <c r="B126" i="1"/>
  <c r="C126" i="1" s="1"/>
  <c r="D125" i="1"/>
  <c r="E125" i="1" s="1"/>
  <c r="B125" i="1"/>
  <c r="C125" i="1" s="1"/>
  <c r="D124" i="1"/>
  <c r="E124" i="1" s="1"/>
  <c r="B124" i="1"/>
  <c r="C124" i="1" s="1"/>
  <c r="D123" i="1"/>
  <c r="E123" i="1" s="1"/>
  <c r="B123" i="1"/>
  <c r="C123" i="1" s="1"/>
  <c r="D122" i="1"/>
  <c r="E122" i="1" s="1"/>
  <c r="B122" i="1"/>
  <c r="C122" i="1" s="1"/>
  <c r="D121" i="1"/>
  <c r="E121" i="1" s="1"/>
  <c r="B121" i="1"/>
  <c r="C121" i="1" s="1"/>
  <c r="D120" i="1"/>
  <c r="E120" i="1" s="1"/>
  <c r="B120" i="1"/>
  <c r="C120" i="1" s="1"/>
  <c r="D119" i="1"/>
  <c r="E119" i="1" s="1"/>
  <c r="B119" i="1"/>
  <c r="C119" i="1" s="1"/>
  <c r="D118" i="1"/>
  <c r="E118" i="1" s="1"/>
  <c r="B118" i="1"/>
  <c r="C118" i="1" s="1"/>
  <c r="D117" i="1"/>
  <c r="E117" i="1" s="1"/>
  <c r="B117" i="1"/>
  <c r="C117" i="1" s="1"/>
  <c r="D116" i="1"/>
  <c r="E116" i="1" s="1"/>
  <c r="B116" i="1"/>
  <c r="C116" i="1" s="1"/>
  <c r="D115" i="1"/>
  <c r="E115" i="1" s="1"/>
  <c r="B115" i="1"/>
  <c r="C115" i="1" s="1"/>
  <c r="D114" i="1"/>
  <c r="E114" i="1" s="1"/>
  <c r="B114" i="1"/>
  <c r="C114" i="1" s="1"/>
  <c r="D113" i="1"/>
  <c r="E113" i="1" s="1"/>
  <c r="B113" i="1"/>
  <c r="C113" i="1" s="1"/>
  <c r="D112" i="1"/>
  <c r="E112" i="1" s="1"/>
  <c r="B112" i="1"/>
  <c r="C112" i="1" s="1"/>
  <c r="D111" i="1"/>
  <c r="E111" i="1" s="1"/>
  <c r="B111" i="1"/>
  <c r="C111" i="1" s="1"/>
  <c r="D110" i="1"/>
  <c r="E110" i="1" s="1"/>
  <c r="B110" i="1"/>
  <c r="C110" i="1" s="1"/>
  <c r="D109" i="1"/>
  <c r="E109" i="1" s="1"/>
  <c r="B109" i="1"/>
  <c r="C109" i="1" s="1"/>
  <c r="D108" i="1"/>
  <c r="E108" i="1" s="1"/>
  <c r="B108" i="1"/>
  <c r="C108" i="1" s="1"/>
  <c r="D107" i="1"/>
  <c r="E107" i="1" s="1"/>
  <c r="B107" i="1"/>
  <c r="C107" i="1" s="1"/>
  <c r="D106" i="1"/>
  <c r="E106" i="1" s="1"/>
  <c r="B106" i="1"/>
  <c r="C106" i="1" s="1"/>
  <c r="D105" i="1"/>
  <c r="E105" i="1" s="1"/>
  <c r="B105" i="1"/>
  <c r="C105" i="1" s="1"/>
  <c r="D104" i="1"/>
  <c r="E104" i="1" s="1"/>
  <c r="B104" i="1"/>
  <c r="C104" i="1" s="1"/>
  <c r="D103" i="1"/>
  <c r="E103" i="1" s="1"/>
  <c r="B103" i="1"/>
  <c r="C103" i="1" s="1"/>
  <c r="D102" i="1"/>
  <c r="E102" i="1" s="1"/>
  <c r="B102" i="1"/>
  <c r="C102" i="1" s="1"/>
  <c r="D101" i="1"/>
  <c r="E101" i="1" s="1"/>
  <c r="B101" i="1"/>
  <c r="C101" i="1" s="1"/>
  <c r="D100" i="1"/>
  <c r="E100" i="1" s="1"/>
  <c r="B100" i="1"/>
  <c r="C100" i="1" s="1"/>
  <c r="D99" i="1"/>
  <c r="E99" i="1" s="1"/>
  <c r="B99" i="1"/>
  <c r="C99" i="1" s="1"/>
  <c r="D98" i="1"/>
  <c r="E98" i="1" s="1"/>
  <c r="B98" i="1"/>
  <c r="C98" i="1" s="1"/>
  <c r="D97" i="1"/>
  <c r="E97" i="1" s="1"/>
  <c r="B97" i="1"/>
  <c r="C97" i="1" s="1"/>
  <c r="D96" i="1"/>
  <c r="E96" i="1" s="1"/>
  <c r="B96" i="1"/>
  <c r="C96" i="1" s="1"/>
  <c r="D95" i="1"/>
  <c r="E95" i="1" s="1"/>
  <c r="B95" i="1"/>
  <c r="C95" i="1" s="1"/>
  <c r="D94" i="1"/>
  <c r="E94" i="1" s="1"/>
  <c r="B94" i="1"/>
  <c r="C94" i="1" s="1"/>
  <c r="D93" i="1"/>
  <c r="E93" i="1" s="1"/>
  <c r="B93" i="1"/>
  <c r="C93" i="1" s="1"/>
  <c r="D92" i="1"/>
  <c r="E92" i="1" s="1"/>
  <c r="B92" i="1"/>
  <c r="C92" i="1" s="1"/>
  <c r="D91" i="1"/>
  <c r="E91" i="1" s="1"/>
  <c r="B91" i="1"/>
  <c r="C91" i="1" s="1"/>
  <c r="D90" i="1"/>
  <c r="E90" i="1" s="1"/>
  <c r="B90" i="1"/>
  <c r="C90" i="1" s="1"/>
  <c r="D89" i="1"/>
  <c r="E89" i="1" s="1"/>
  <c r="B89" i="1"/>
  <c r="C89" i="1" s="1"/>
  <c r="D88" i="1"/>
  <c r="E88" i="1" s="1"/>
  <c r="B88" i="1"/>
  <c r="C88" i="1" s="1"/>
  <c r="D87" i="1"/>
  <c r="E87" i="1" s="1"/>
  <c r="B87" i="1"/>
  <c r="C87" i="1" s="1"/>
  <c r="D86" i="1"/>
  <c r="E86" i="1" s="1"/>
  <c r="B86" i="1"/>
  <c r="C86" i="1" s="1"/>
  <c r="D85" i="1"/>
  <c r="E85" i="1" s="1"/>
  <c r="B85" i="1"/>
  <c r="C85" i="1" s="1"/>
  <c r="D84" i="1"/>
  <c r="E84" i="1" s="1"/>
  <c r="B84" i="1"/>
  <c r="C84" i="1" s="1"/>
  <c r="D83" i="1"/>
  <c r="E83" i="1" s="1"/>
  <c r="B83" i="1"/>
  <c r="C83" i="1" s="1"/>
  <c r="D82" i="1"/>
  <c r="E82" i="1" s="1"/>
  <c r="B82" i="1"/>
  <c r="C82" i="1" s="1"/>
  <c r="D81" i="1"/>
  <c r="E81" i="1" s="1"/>
  <c r="B81" i="1"/>
  <c r="C81" i="1" s="1"/>
  <c r="D80" i="1"/>
  <c r="E80" i="1" s="1"/>
  <c r="B80" i="1"/>
  <c r="C80" i="1" s="1"/>
  <c r="D79" i="1"/>
  <c r="E79" i="1" s="1"/>
  <c r="B79" i="1"/>
  <c r="C79" i="1" s="1"/>
  <c r="D78" i="1"/>
  <c r="E78" i="1" s="1"/>
  <c r="B78" i="1"/>
  <c r="C78" i="1" s="1"/>
  <c r="D77" i="1"/>
  <c r="E77" i="1" s="1"/>
  <c r="B77" i="1"/>
  <c r="C77" i="1" s="1"/>
  <c r="D76" i="1"/>
  <c r="E76" i="1" s="1"/>
  <c r="B76" i="1"/>
  <c r="C76" i="1" s="1"/>
  <c r="D75" i="1"/>
  <c r="E75" i="1" s="1"/>
  <c r="B75" i="1"/>
  <c r="C75" i="1" s="1"/>
  <c r="D74" i="1"/>
  <c r="E74" i="1" s="1"/>
  <c r="B74" i="1"/>
  <c r="C74" i="1" s="1"/>
  <c r="D73" i="1"/>
  <c r="E73" i="1" s="1"/>
  <c r="B73" i="1"/>
  <c r="C73" i="1" s="1"/>
  <c r="D72" i="1"/>
  <c r="E72" i="1" s="1"/>
  <c r="B72" i="1"/>
  <c r="C72" i="1" s="1"/>
  <c r="D71" i="1"/>
  <c r="E71" i="1" s="1"/>
  <c r="B71" i="1"/>
  <c r="C71" i="1" s="1"/>
  <c r="D70" i="1"/>
  <c r="E70" i="1" s="1"/>
  <c r="B70" i="1"/>
  <c r="C70" i="1" s="1"/>
  <c r="D69" i="1"/>
  <c r="E69" i="1" s="1"/>
  <c r="B69" i="1"/>
  <c r="C69" i="1" s="1"/>
  <c r="D68" i="1"/>
  <c r="E68" i="1" s="1"/>
  <c r="B68" i="1"/>
  <c r="C68" i="1" s="1"/>
  <c r="D67" i="1"/>
  <c r="E67" i="1" s="1"/>
  <c r="B67" i="1"/>
  <c r="C67" i="1" s="1"/>
  <c r="D66" i="1"/>
  <c r="E66" i="1" s="1"/>
  <c r="B66" i="1"/>
  <c r="C66" i="1" s="1"/>
  <c r="D65" i="1"/>
  <c r="E65" i="1" s="1"/>
  <c r="B65" i="1"/>
  <c r="C65" i="1" s="1"/>
  <c r="D64" i="1"/>
  <c r="E64" i="1" s="1"/>
  <c r="B64" i="1"/>
  <c r="C64" i="1" s="1"/>
  <c r="D63" i="1"/>
  <c r="E63" i="1" s="1"/>
  <c r="B63" i="1"/>
  <c r="C63" i="1" s="1"/>
  <c r="D62" i="1"/>
  <c r="E62" i="1" s="1"/>
  <c r="B62" i="1"/>
  <c r="C62" i="1" s="1"/>
  <c r="D61" i="1"/>
  <c r="E61" i="1" s="1"/>
  <c r="B61" i="1"/>
  <c r="C61" i="1" s="1"/>
  <c r="D60" i="1"/>
  <c r="E60" i="1" s="1"/>
  <c r="B60" i="1"/>
  <c r="C60" i="1" s="1"/>
  <c r="D59" i="1"/>
  <c r="E59" i="1" s="1"/>
  <c r="B59" i="1"/>
  <c r="C59" i="1" s="1"/>
  <c r="D58" i="1"/>
  <c r="E58" i="1" s="1"/>
  <c r="B58" i="1"/>
  <c r="C58" i="1" s="1"/>
  <c r="D57" i="1"/>
  <c r="E57" i="1" s="1"/>
  <c r="B57" i="1"/>
  <c r="C57" i="1" s="1"/>
  <c r="D56" i="1"/>
  <c r="E56" i="1" s="1"/>
  <c r="B56" i="1"/>
  <c r="C56" i="1" s="1"/>
  <c r="D55" i="1"/>
  <c r="E55" i="1" s="1"/>
  <c r="B55" i="1"/>
  <c r="C55" i="1" s="1"/>
  <c r="D54" i="1"/>
  <c r="E54" i="1" s="1"/>
  <c r="B54" i="1"/>
  <c r="C54" i="1" s="1"/>
  <c r="D53" i="1"/>
  <c r="E53" i="1" s="1"/>
  <c r="B53" i="1"/>
  <c r="C53" i="1" s="1"/>
  <c r="D52" i="1"/>
  <c r="E52" i="1" s="1"/>
  <c r="B52" i="1"/>
  <c r="C52" i="1" s="1"/>
  <c r="D51" i="1"/>
  <c r="E51" i="1" s="1"/>
  <c r="B51" i="1"/>
  <c r="C51" i="1" s="1"/>
  <c r="D50" i="1"/>
  <c r="E50" i="1" s="1"/>
  <c r="B50" i="1"/>
  <c r="C50" i="1" s="1"/>
  <c r="D49" i="1"/>
  <c r="E49" i="1" s="1"/>
  <c r="B49" i="1"/>
  <c r="C49" i="1" s="1"/>
  <c r="D48" i="1"/>
  <c r="E48" i="1" s="1"/>
  <c r="B48" i="1"/>
  <c r="C48" i="1" s="1"/>
  <c r="D47" i="1"/>
  <c r="E47" i="1" s="1"/>
  <c r="B47" i="1"/>
  <c r="C47" i="1" s="1"/>
  <c r="D46" i="1"/>
  <c r="E46" i="1" s="1"/>
  <c r="B46" i="1"/>
  <c r="C46" i="1" s="1"/>
  <c r="D45" i="1"/>
  <c r="E45" i="1" s="1"/>
  <c r="B45" i="1"/>
  <c r="C45" i="1" s="1"/>
  <c r="D44" i="1"/>
  <c r="E44" i="1" s="1"/>
  <c r="B44" i="1"/>
  <c r="C44" i="1" s="1"/>
  <c r="D43" i="1"/>
  <c r="E43" i="1" s="1"/>
  <c r="B43" i="1"/>
  <c r="C43" i="1" s="1"/>
  <c r="D42" i="1"/>
  <c r="E42" i="1" s="1"/>
  <c r="B42" i="1"/>
  <c r="C42" i="1" s="1"/>
  <c r="D41" i="1"/>
  <c r="E41" i="1" s="1"/>
  <c r="B41" i="1"/>
  <c r="C41" i="1" s="1"/>
  <c r="D40" i="1"/>
  <c r="E40" i="1" s="1"/>
  <c r="B40" i="1"/>
  <c r="C40" i="1" s="1"/>
  <c r="D39" i="1"/>
  <c r="E39" i="1" s="1"/>
  <c r="B39" i="1"/>
  <c r="C39" i="1" s="1"/>
  <c r="D38" i="1"/>
  <c r="E38" i="1" s="1"/>
  <c r="B38" i="1"/>
  <c r="C38" i="1" s="1"/>
  <c r="D37" i="1"/>
  <c r="E37" i="1" s="1"/>
  <c r="B37" i="1"/>
  <c r="C37" i="1" s="1"/>
  <c r="D36" i="1"/>
  <c r="E36" i="1" s="1"/>
  <c r="B36" i="1"/>
  <c r="C36" i="1" s="1"/>
  <c r="D35" i="1"/>
  <c r="E35" i="1" s="1"/>
  <c r="B35" i="1"/>
  <c r="C35" i="1" s="1"/>
  <c r="D34" i="1"/>
  <c r="E34" i="1" s="1"/>
  <c r="B34" i="1"/>
  <c r="C34" i="1" s="1"/>
  <c r="D33" i="1"/>
  <c r="E33" i="1" s="1"/>
  <c r="B33" i="1"/>
  <c r="C33" i="1" s="1"/>
  <c r="D32" i="1"/>
  <c r="E32" i="1" s="1"/>
  <c r="B32" i="1"/>
  <c r="C32" i="1" s="1"/>
  <c r="D31" i="1"/>
  <c r="E31" i="1" s="1"/>
  <c r="B31" i="1"/>
  <c r="C31" i="1" s="1"/>
  <c r="D30" i="1"/>
  <c r="E30" i="1" s="1"/>
  <c r="B30" i="1"/>
  <c r="C30" i="1" s="1"/>
  <c r="D29" i="1"/>
  <c r="E29" i="1" s="1"/>
  <c r="B29" i="1"/>
  <c r="C29" i="1" s="1"/>
  <c r="D28" i="1"/>
  <c r="E28" i="1" s="1"/>
  <c r="B28" i="1"/>
  <c r="C28" i="1" s="1"/>
  <c r="D27" i="1"/>
  <c r="E27" i="1" s="1"/>
  <c r="B27" i="1"/>
  <c r="C27" i="1" s="1"/>
  <c r="D26" i="1"/>
  <c r="E26" i="1" s="1"/>
  <c r="B26" i="1"/>
  <c r="C26" i="1" s="1"/>
  <c r="D25" i="1"/>
  <c r="E25" i="1" s="1"/>
  <c r="B25" i="1"/>
  <c r="C25" i="1" s="1"/>
  <c r="D24" i="1"/>
  <c r="E24" i="1" s="1"/>
  <c r="B24" i="1"/>
  <c r="C24" i="1" s="1"/>
  <c r="D23" i="1"/>
  <c r="E23" i="1" s="1"/>
  <c r="B23" i="1"/>
  <c r="C23" i="1" s="1"/>
  <c r="D22" i="1"/>
  <c r="E22" i="1" s="1"/>
  <c r="B22" i="1"/>
  <c r="C22" i="1" s="1"/>
  <c r="D21" i="1"/>
  <c r="E21" i="1" s="1"/>
  <c r="B21" i="1"/>
  <c r="C21" i="1" s="1"/>
  <c r="D20" i="1"/>
  <c r="E20" i="1" s="1"/>
  <c r="B20" i="1"/>
  <c r="C20" i="1" s="1"/>
  <c r="D19" i="1"/>
  <c r="E19" i="1" s="1"/>
  <c r="B19" i="1"/>
  <c r="C19" i="1" s="1"/>
  <c r="D18" i="1"/>
  <c r="E18" i="1" s="1"/>
  <c r="B18" i="1"/>
  <c r="C18" i="1" s="1"/>
  <c r="D17" i="1"/>
  <c r="E17" i="1" s="1"/>
  <c r="B17" i="1"/>
  <c r="C17" i="1" s="1"/>
  <c r="D16" i="1"/>
  <c r="E16" i="1" s="1"/>
  <c r="B16" i="1"/>
  <c r="C16" i="1" s="1"/>
  <c r="D15" i="1"/>
  <c r="E15" i="1" s="1"/>
  <c r="B15" i="1"/>
  <c r="C15" i="1" s="1"/>
  <c r="D14" i="1"/>
  <c r="E14" i="1" s="1"/>
  <c r="B14" i="1"/>
  <c r="C14" i="1" s="1"/>
  <c r="D13" i="1"/>
  <c r="E13" i="1" s="1"/>
  <c r="B13" i="1"/>
  <c r="C13" i="1" s="1"/>
  <c r="D12" i="1"/>
  <c r="E12" i="1" s="1"/>
  <c r="B12" i="1"/>
  <c r="C12" i="1" s="1"/>
  <c r="D11" i="1"/>
  <c r="E11" i="1" s="1"/>
  <c r="B11" i="1"/>
  <c r="C11" i="1" s="1"/>
  <c r="D10" i="1"/>
  <c r="E10" i="1" s="1"/>
  <c r="B10" i="1"/>
  <c r="C10" i="1" s="1"/>
  <c r="D9" i="1"/>
  <c r="E9" i="1" s="1"/>
  <c r="B9" i="1"/>
  <c r="C9" i="1" s="1"/>
  <c r="D8" i="1"/>
  <c r="E8" i="1" s="1"/>
  <c r="B8" i="1"/>
  <c r="C8" i="1" s="1"/>
  <c r="D7" i="1"/>
  <c r="E7" i="1" s="1"/>
  <c r="B7" i="1"/>
  <c r="C7" i="1" s="1"/>
  <c r="D6" i="1"/>
  <c r="E6" i="1" s="1"/>
  <c r="B6" i="1"/>
  <c r="C6" i="1" s="1"/>
  <c r="D5" i="1"/>
  <c r="E5" i="1" s="1"/>
  <c r="B5" i="1"/>
  <c r="C5" i="1" s="1"/>
  <c r="D4" i="1"/>
  <c r="E4" i="1" s="1"/>
  <c r="B4" i="1"/>
  <c r="C4" i="1" s="1"/>
  <c r="D3" i="1"/>
  <c r="E3" i="1" s="1"/>
  <c r="B3" i="1"/>
  <c r="C3" i="1" s="1"/>
  <c r="D2" i="1"/>
  <c r="E2" i="1" s="1"/>
  <c r="B2" i="1"/>
  <c r="C2" i="1" s="1"/>
  <c r="D1" i="1"/>
  <c r="E1" i="1" s="1"/>
  <c r="B1" i="1"/>
  <c r="C1" i="1" s="1"/>
</calcChain>
</file>

<file path=xl/sharedStrings.xml><?xml version="1.0" encoding="utf-8"?>
<sst xmlns="http://schemas.openxmlformats.org/spreadsheetml/2006/main" count="220" uniqueCount="188">
  <si>
    <t xml:space="preserve">071-TG-1041 Gas to cooler temperature gauge </t>
  </si>
  <si>
    <t xml:space="preserve">071-PDI-1080 Gas differential pressure indicator across cooler </t>
  </si>
  <si>
    <t xml:space="preserve">071-PT-1043 Gas to scrubber pressure transmitter </t>
  </si>
  <si>
    <t xml:space="preserve">071-TSI-1042 Gas to scrubber temperature safety indicator </t>
  </si>
  <si>
    <t xml:space="preserve">071-TIC-1043 Gas to scrubber temperature indicator controller </t>
  </si>
  <si>
    <t xml:space="preserve">104-PG-1045 Cooling medium supply pressure gauge </t>
  </si>
  <si>
    <t xml:space="preserve">104-PDI-1039 C.M. differential pressure indicator across cooler </t>
  </si>
  <si>
    <t xml:space="preserve">071-PG-1015 Scrubber pressure gauge </t>
  </si>
  <si>
    <t xml:space="preserve">071-LG-1007 Scrubber level gauge </t>
  </si>
  <si>
    <t xml:space="preserve">071-LSI-1013 Scrubber level safety indicator </t>
  </si>
  <si>
    <t>071-LIC-1014 Scrubber level indicator controller</t>
  </si>
  <si>
    <t xml:space="preserve">071-PSI-1047 Compressor suction pressure safety indicator </t>
  </si>
  <si>
    <t xml:space="preserve">071-TSI-1045 Compressor discharge temperature safety indicator </t>
  </si>
  <si>
    <t xml:space="preserve">071-TG-1044 Compressor discharge temperature gauge </t>
  </si>
  <si>
    <t xml:space="preserve">071-PSI-1048 Compressor discharge pressure safety indicator </t>
  </si>
  <si>
    <t>071-PIC-1049 Compressor suction pressure indicator controller (with high discharge pressure override from 071-PT-1049)</t>
  </si>
  <si>
    <t>071-FI-1027 Compressor discharge flow indicator</t>
  </si>
  <si>
    <t>071-6544 071-SDV-1051 upstream manual valve</t>
  </si>
  <si>
    <t>071-SDV-1051 Flash gas from separators shutdown valve</t>
  </si>
  <si>
    <t>104-6554 Cooling medium supply valve</t>
  </si>
  <si>
    <t xml:space="preserve">104-6555 104-PSV-1043 upstream valve </t>
  </si>
  <si>
    <t>104-TCV-1049 Cooling medium return control valve</t>
  </si>
  <si>
    <t>104-6563 104-TCV-1049 downstream valve</t>
  </si>
  <si>
    <t xml:space="preserve">071-6565 071-PSV-1015 upstream valves </t>
  </si>
  <si>
    <t>080-6568 071-PSV-1015 downstream valve</t>
  </si>
  <si>
    <t>084-6573 MBF-2315 bottom drain outlet valve</t>
  </si>
  <si>
    <t xml:space="preserve">071-SDV-1071 Condensate outlet from MBF-2315 shutdown valve </t>
  </si>
  <si>
    <t>071-LCV-1016 Condensate outlet from MBF-2315 level control valve</t>
  </si>
  <si>
    <t>071-6582 071-LCV-1016 downstream valve</t>
  </si>
  <si>
    <t>071-PCV-1057 Compressor recycle control valve</t>
  </si>
  <si>
    <t>071-6586 071-PSV-1018 upstream valves</t>
  </si>
  <si>
    <t>080-6589 071-PSV-1018 downstream valve</t>
  </si>
  <si>
    <t>071-BDV-1063 Compressor discharge blowdown valve</t>
  </si>
  <si>
    <t>080-6596 071-BDV-1063 downstream valve</t>
  </si>
  <si>
    <t>071-SDV-1052 Compressor discharge shutdown valve</t>
  </si>
  <si>
    <t>071-6594 071-SDV-1052 downstream valve</t>
  </si>
  <si>
    <t xml:space="preserve">071-TG-1047 Gas to cooler temperature gauge </t>
  </si>
  <si>
    <t xml:space="preserve">071-PDI-1081 Gas differential pressure indicator across cooler </t>
  </si>
  <si>
    <t xml:space="preserve">071-PT-1051 Gas to scrubber pressure transmitter </t>
  </si>
  <si>
    <t xml:space="preserve">071-TSI-1048 Gas to scrubber temperature safety indicator </t>
  </si>
  <si>
    <t xml:space="preserve">071-TIC-1049 Gas to scrubber temperature indicator controller </t>
  </si>
  <si>
    <t xml:space="preserve">104-PG-1046 Cooling medium supply pressure gauge </t>
  </si>
  <si>
    <t xml:space="preserve">104-PDI-1040 C.M. differential pressure indicator across cooler </t>
  </si>
  <si>
    <t xml:space="preserve">071-PG-1016 Scrubber pressure gauge </t>
  </si>
  <si>
    <t xml:space="preserve">071-LG-1008 Scrubber level gauge </t>
  </si>
  <si>
    <t xml:space="preserve">071-LSI-1015 Scrubber level safety indicator </t>
  </si>
  <si>
    <t>071-LIC-1016 Scrubber level indicator controller</t>
  </si>
  <si>
    <t xml:space="preserve">071-PSI-1055 Compressor suction pressure safety indicator </t>
  </si>
  <si>
    <t xml:space="preserve">071-TSI-1051 Compressor discharge temperature safety indicator </t>
  </si>
  <si>
    <t xml:space="preserve">071-TG-1050 Compressor discharge temperature gauge </t>
  </si>
  <si>
    <t xml:space="preserve">071-PSI-1056 Compressor discharge pressure safety indicator </t>
  </si>
  <si>
    <t xml:space="preserve">071-PIC-1057 Compressor suction pressure indicator controller (with high discharge pressure override from 071-PT-1057) </t>
  </si>
  <si>
    <t>071-FI-1028 Compressor discharge flow indicator</t>
  </si>
  <si>
    <t>071-4949 Main compressor 1st stage inlet manual valve</t>
  </si>
  <si>
    <t>071-SDV-1025 Main compressor 1st stage inlet shutdown valve</t>
  </si>
  <si>
    <t>071-SDV-1026 Main compressor 1st stage inlet pressurization bypass shutdown valve</t>
  </si>
  <si>
    <t>071-PCV-1074 Main compressor 1st stage inlet pressure control valve</t>
  </si>
  <si>
    <t>071-4974 071-PSV-1007 up stream valve</t>
  </si>
  <si>
    <t>080-4977 071-PSV-1007 down stream valve</t>
  </si>
  <si>
    <t xml:space="preserve">071-SDV-1027 1st stage suction scrubber MBF-2375 level shutdown valve </t>
  </si>
  <si>
    <t>071-LCV-1008 1st stage suction scrubber MBF-2375 level control valve</t>
  </si>
  <si>
    <t>071-4972 071-LCV-1008 downstream valve</t>
  </si>
  <si>
    <t xml:space="preserve">084-4959 1st stage suction scrubber MBF-2375 closed drain valve </t>
  </si>
  <si>
    <t>084-4961 1st stage suction scrubber MBF-2375 closed drain header valve</t>
  </si>
  <si>
    <t xml:space="preserve">071-4986 071-SP-2410 1st stage suction sample upstream device </t>
  </si>
  <si>
    <t>071-4990 071-PSV-1008 up stream valve</t>
  </si>
  <si>
    <t>080-4993 071-PSV-1008 down stream valve</t>
  </si>
  <si>
    <t xml:space="preserve">071-FCV-1019 1st stage discharge recycle flow control valve (anti-surge control) </t>
  </si>
  <si>
    <t>071-PCV-1098 1st stage discharge recycle flow control valve (capacity control)</t>
  </si>
  <si>
    <t xml:space="preserve">104-4998 Cooling medium supply to HGB-2355 valve </t>
  </si>
  <si>
    <t xml:space="preserve">071-TCV-1026 Temperature control valve on cooling medium return from 1st stage discharge cooler. </t>
  </si>
  <si>
    <t>104-5010 Cooling medium return header valve</t>
  </si>
  <si>
    <t>104-5004 071-PSV-1028 up stream valve</t>
  </si>
  <si>
    <t>071-5030 071-PSV-1009 up stream valve</t>
  </si>
  <si>
    <t>080-5033 071-PSV-1009 down stream valve</t>
  </si>
  <si>
    <t>071-FCV-1022 2nd stage discharge recycle flow control valve (anti-surge control)</t>
  </si>
  <si>
    <t xml:space="preserve">071-PCV-1092 2nd stage discharge recycle flow control valve (capacity control) </t>
  </si>
  <si>
    <t xml:space="preserve">071-SDV-1028 2nd stage suction scrubber MBF-2390 level shutdown valve </t>
  </si>
  <si>
    <t xml:space="preserve">071-LCV-1010 2nd stage suction scrubber MBF-2390 level control valve </t>
  </si>
  <si>
    <t>071-5028 071-LCV-1010 downstream valve</t>
  </si>
  <si>
    <t xml:space="preserve">084-5016 2nd stage suction scrubber MBF-2390 closed drain valve </t>
  </si>
  <si>
    <t xml:space="preserve">084-5018 2nd stage suction scrubber MBF-2390 closed drain header valve </t>
  </si>
  <si>
    <t>071-5043 071-PSV-1010 up stream valve</t>
  </si>
  <si>
    <t>071-5046 071-PSV-1010 down stream valve</t>
  </si>
  <si>
    <t xml:space="preserve">104-5061 Cooling medium supply to HGB-2360 valve </t>
  </si>
  <si>
    <t>071-TCV-1034 Temperature control valve on cooling medium return from 2nd stage discharge cooler</t>
  </si>
  <si>
    <t>104-5073 Cooling medium return header valve</t>
  </si>
  <si>
    <t xml:space="preserve">071-BDV-1031 2nd stage discharge blowdown valve </t>
  </si>
  <si>
    <t>071-5075 071-BDV-1031 downstream valve</t>
  </si>
  <si>
    <t>071-5076/77 071-BDV-1031 by-pass valves</t>
  </si>
  <si>
    <t>104-5067 071-PSV-1029 up stream valve</t>
  </si>
  <si>
    <t xml:space="preserve">071-SDV-1029 2nd stage discharge outlet shutdown valve </t>
  </si>
  <si>
    <t>071-SDV-1030 2nd stage discharge outlet pressurization bypass shutdown valve</t>
  </si>
  <si>
    <t xml:space="preserve">071-5060 2nd stage discharge outlet valve </t>
  </si>
  <si>
    <t>071-5078 Main compressor 3rd stage inlet manual valve</t>
  </si>
  <si>
    <t xml:space="preserve">071-SDV-1032 Main compressor 3rd stage inlet shutdown valve </t>
  </si>
  <si>
    <t xml:space="preserve">071-SDV-1033 Main compressor 3rd stage inlet pressurization bypass shutdown valve </t>
  </si>
  <si>
    <t>071-PCV-1087 Main compressor 3rd stage inlet pressure control valve</t>
  </si>
  <si>
    <t xml:space="preserve">071-5103 071-PSV-1011 up stream valve </t>
  </si>
  <si>
    <t xml:space="preserve">071-5106 071-PSV-1011 down stream valve </t>
  </si>
  <si>
    <t xml:space="preserve">071-SDV-1034 3rd stage suction scrubber MBF-2395 level shutdown valve </t>
  </si>
  <si>
    <t xml:space="preserve">071-LCV-1012 3rd stage suction scrubber MBF-2395 level control valve </t>
  </si>
  <si>
    <t>071-5101 071-LCV-1012 downstream valve</t>
  </si>
  <si>
    <t xml:space="preserve">084-5089 3rd stage suction scrubber MBF-2395 closed drain valve </t>
  </si>
  <si>
    <t xml:space="preserve">084-5091 3rd stage suction scrubber MBF-2395 closed drain header valve </t>
  </si>
  <si>
    <t xml:space="preserve">071-5115 071-SP-2411 3rd stage suction sample upstream isolation device </t>
  </si>
  <si>
    <t xml:space="preserve">071-FCV-1024 3rd stage discharge recycle flow control valve (anti-surge control)  </t>
  </si>
  <si>
    <t xml:space="preserve">071-PCV-1084 3rd stage discharge recycle flow control valve (capacity control) </t>
  </si>
  <si>
    <t>071-5118 071-PSV-1012 up stream isolation valve</t>
  </si>
  <si>
    <t xml:space="preserve">080-5121 071-PSV-1012 down stream isolation valve </t>
  </si>
  <si>
    <t xml:space="preserve">104-5139 Cooling medium supply to HGB-2365 isolation valve </t>
  </si>
  <si>
    <t>071-TCV-1040 Temperature control valve on cooling medium return from 3rd stage discharge cooler</t>
  </si>
  <si>
    <t xml:space="preserve">104-5151 Cooling medium return header isolation valve </t>
  </si>
  <si>
    <t>071-BDV-1038 3rd stage discharge blowdown valve</t>
  </si>
  <si>
    <t xml:space="preserve">071-5136 071-BDV-1038 downstream isolation valve </t>
  </si>
  <si>
    <t>071-5137/38 071-BDV-1038 by-pass valves</t>
  </si>
  <si>
    <t xml:space="preserve">071-SDV-1035 3rd stage discharge outlet shutdown isolation valve  </t>
  </si>
  <si>
    <t xml:space="preserve">071-SDV-1036 3rd stage discharge outlet pressurization bypass shutdown valve </t>
  </si>
  <si>
    <t>071-5134 3rd stage discharge outlet isolation valve</t>
  </si>
  <si>
    <t>104-5145 071-PSV-1030 up stream isolation valve</t>
  </si>
  <si>
    <t>071-5135 Ethanol injection point isolation valves</t>
  </si>
  <si>
    <t xml:space="preserve">104-5155 Cooling medium supply to CM-2341 isolation valve </t>
  </si>
  <si>
    <t xml:space="preserve">104-5160 Cooling medium return from CM-2341 isolation valve  </t>
  </si>
  <si>
    <t xml:space="preserve">104-5165 Cooling medium supply to ZZZ-2341 isolation valve </t>
  </si>
  <si>
    <t xml:space="preserve">104-5168 Cooling medium return from ZZZ-2341 isolation valve </t>
  </si>
  <si>
    <t>084-5177 CAE-2340/45 closed drain header isolation valve</t>
  </si>
  <si>
    <t xml:space="preserve">104-5178 Cooling medium supply to CM-2351 isolation valve </t>
  </si>
  <si>
    <t xml:space="preserve">104-5183 Cooling medium return from CM-2351 isolation valve </t>
  </si>
  <si>
    <t xml:space="preserve">104-5184 Cooling medium supply to ZZZ-2351 isolation valve  </t>
  </si>
  <si>
    <t xml:space="preserve">104-5187 Cooling medium return from ZZZ-1351 isolation valve </t>
  </si>
  <si>
    <t>084-5195 CAE-2350 closed drain header isolation valve</t>
  </si>
  <si>
    <t>Análise crítica de calibração de placas de orifício</t>
  </si>
  <si>
    <t>Unidade:</t>
  </si>
  <si>
    <t>ODS Lab</t>
  </si>
  <si>
    <t>Número de série:</t>
  </si>
  <si>
    <t>CS-PO-18.09-0050 Nominal Diameter 4</t>
  </si>
  <si>
    <t>Localização:</t>
  </si>
  <si>
    <t>Número do Certificado:</t>
  </si>
  <si>
    <t>25-ODS-70-DIM-070</t>
  </si>
  <si>
    <t>Data de Calibração:</t>
  </si>
  <si>
    <t>27/11/2025</t>
  </si>
  <si>
    <t>Empresa Certificadora:</t>
  </si>
  <si>
    <t>ODS Metering Systems</t>
  </si>
  <si>
    <t>1.1 Descrição dos itens a serem verificados</t>
  </si>
  <si>
    <t>SIM</t>
  </si>
  <si>
    <t>NÃO</t>
  </si>
  <si>
    <t>N/A</t>
  </si>
  <si>
    <t>a) Identificação unívoca (Número do Certificado de Calibração).</t>
  </si>
  <si>
    <t>x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</si>
  <si>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</si>
  <si>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</si>
  <si>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</si>
  <si>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</si>
  <si>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</si>
  <si>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</si>
  <si>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h) Descrição e identificação do item de calibração (ex.: nome, fabricante, tipo, modelo, número de série, etc).</t>
  </si>
  <si>
    <t>i) A data da realização da inspeção.</t>
  </si>
  <si>
    <t>j) Os resultados da inspeção estão com as unidades de medida no SI, onde apropriado.</t>
  </si>
  <si>
    <t>k)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</si>
  <si>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</si>
  <si>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</si>
  <si>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Incertezas das medições de diâmetro.</t>
  </si>
  <si>
    <t>o) Nível de confiança e fator de abrangência.</t>
  </si>
  <si>
    <t>p) Norma de referência utilizada na inspeção.</t>
  </si>
  <si>
    <t>q) Medida de diâmetro do orifício corrigido a 20º C (“dr”).</t>
  </si>
  <si>
    <t>r) Medida de rugosidade a montante.</t>
  </si>
  <si>
    <t>s) Medida de rugosidade a jusante (AGA 3).</t>
  </si>
  <si>
    <t>t) Medida de espessura “E”.</t>
  </si>
  <si>
    <t>u) Medida de espessura “e”.</t>
  </si>
  <si>
    <t>v) Medida de planeza/planicidade.</t>
  </si>
  <si>
    <t>w) Medida de ângulo do chanfro “α”.</t>
  </si>
  <si>
    <t>x) O certificado informa da aprovação/reprovação da placa conforme a norma de referência?</t>
  </si>
  <si>
    <t>1.2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</si>
  <si>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</si>
  <si>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</si>
  <si>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referência.</t>
  </si>
  <si>
    <t>d) CE/SAP da placa.</t>
  </si>
  <si>
    <t>1.3 É recomendado que o relatório de análise contenha uma declaração especificando que o mesmo só deve ser reproduzido completo.  Reprodução de partes requer aprovação escrita do emitente. O relatório apresentado atende esta recomendação?</t>
  </si>
  <si>
    <t xml:space="preserve">(   x   )  Sim       (      ) Não
OBSERVAÇÕES: </t>
  </si>
  <si>
    <t>1.4 Existe alguma informação no documento analisado que necessite ser atualizada em algum outro dispositivo (ex.: range de calibração de transmissor de pressão diferencial)?</t>
  </si>
  <si>
    <t>(   x   )  Sim       (      ) Não
OBSERVAÇÕES: Houve alteração do diâmetro da placa no computador de vazão.</t>
  </si>
  <si>
    <t>1.5 De acordo com a data do último ensaio / análise que foi realizada no equipamento / produto, observando a periodicidade estabelecida para realização do mesmo; a periodicidade de realização foi cumprida?</t>
  </si>
  <si>
    <t>1.6 Conclusão da análise crítica do relatório de calibração.
O certificado está conforme requerimento do cliente e RTM?</t>
  </si>
  <si>
    <t>(   x   )  Sim       (      ) Não*
*Caso a resposta seja “Não”, justifique:</t>
  </si>
  <si>
    <t>Carolina Bastos</t>
  </si>
  <si>
    <t>Data:</t>
  </si>
  <si>
    <t>01/12/2025</t>
  </si>
  <si>
    <t>Responsável pela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</si>
</sst>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color theme="1"/>
      <name val="Prio"/>
      <family val="3"/>
    </font>
    <font>
      <sz val="9"/>
      <color theme="1" tint="0.499984740745262"/>
      <name val="Prio"/>
      <family val="3"/>
    </font>
    <font>
      <sz val="8"/>
      <color theme="1"/>
      <name val="Prio"/>
      <family val="3"/>
    </font>
    <font>
      <b/>
      <sz val="8"/>
      <color theme="1" tint="0.499984740745262"/>
      <name val="Prio"/>
      <family val="3"/>
    </font>
    <font>
      <b/>
      <sz val="9"/>
      <color theme="1"/>
      <name val="Prio"/>
    </font>
    <font>
      <b/>
      <sz val="8"/>
      <color theme="1"/>
      <name val="Prio"/>
    </font>
    <font>
      <sz val="9"/>
      <color theme="1"/>
      <name val="Arial"/>
      <family val="2"/>
    </font>
    <font>
      <b/>
      <sz val="14"/>
      <color rgb="FF008080"/>
      <name val="Prio"/>
    </font>
    <font>
      <sz val="20"/>
      <color theme="1"/>
      <name val="Fairwater Scrip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0099A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1" xfId="0" applyBorder="1"/>
    <xf numFmtId="0" fontId="3" fillId="2" borderId="11" xfId="0" applyFont="1" applyFill="1" applyBorder="1"/>
    <xf numFmtId="0" fontId="1" fillId="2" borderId="11" xfId="0" applyFont="1" applyFill="1" applyBorder="1"/>
    <xf numFmtId="0" fontId="1" fillId="0" borderId="0" xfId="0" applyFont="1"/>
    <xf numFmtId="0" fontId="3" fillId="0" borderId="1" xfId="0" applyFont="1" applyBorder="1" applyAlignment="1">
      <alignment horizontal="left"/>
    </xf>
    <xf numFmtId="0" fontId="0" fillId="0" borderId="2" xfId="0" applyBorder="1"/>
    <xf numFmtId="0" fontId="7" fillId="0" borderId="1" xfId="0" applyFont="1" applyBorder="1" applyAlignment="1">
      <alignment horizontal="left" vertical="center" wrapText="1"/>
    </xf>
    <xf numFmtId="0" fontId="0" fillId="0" borderId="3" xfId="0" applyBorder="1"/>
    <xf numFmtId="0" fontId="1" fillId="0" borderId="10" xfId="0" applyFont="1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" fillId="0" borderId="0" xfId="0" applyFont="1"/>
    <xf numFmtId="14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874704</xdr:colOff>
      <xdr:row>1</xdr:row>
      <xdr:rowOff>106855</xdr:rowOff>
    </xdr:from>
    <xdr:to>
      <xdr:col>7</xdr:col>
      <xdr:colOff>341397</xdr:colOff>
      <xdr:row>1</xdr:row>
      <xdr:rowOff>410948</xdr:rowOff>
    </xdr:to>
    <xdr:pic>
      <xdr:nvPicPr>
        <xdr:cNvPr id="7" name="Imagem 6" descr="Logotipo&#10;&#10;Descrição gerada automaticament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4307" y="257941"/>
          <a:ext cx="1470228" cy="30409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showGridLines="0" zoomScale="80" zoomScaleNormal="80" workbookViewId="0">
      <selection activeCell="A3" sqref="A3"/>
    </sheetView>
  </sheetViews>
  <sheetFormatPr defaultRowHeight="14.5"/>
  <cols>
    <col min="1" max="1" width="64.1796875" bestFit="1" customWidth="1"/>
    <col min="2" max="2" width="3.453125" bestFit="1" customWidth="1"/>
    <col min="3" max="3" width="13.453125" bestFit="1" customWidth="1"/>
    <col min="4" max="4" width="3.453125" bestFit="1" customWidth="1"/>
    <col min="5" max="5" width="50.81640625" bestFit="1" customWidth="1"/>
  </cols>
  <sheetData>
    <row r="1" spans="1:5">
      <c r="A1" t="s">
        <v>0</v>
      </c>
      <c r="B1">
        <f t="shared" ref="B1:B32" si="0">SEARCH(" ",A1)</f>
        <v>12</v>
      </c>
      <c r="C1" t="str">
        <f t="shared" ref="C1:C32" si="1">LEFT(A1,B1-1)</f>
        <v>071-TG-1041</v>
      </c>
      <c r="D1">
        <f t="shared" ref="D1:D32" si="2">LEN(A1)</f>
        <v>44</v>
      </c>
      <c r="E1" t="str">
        <f t="shared" ref="E1:E32" si="3">RIGHT(A1,D1-B1)</f>
        <v xml:space="preserve">Gas to cooler temperature gauge </v>
      </c>
    </row>
    <row r="2" spans="1:5">
      <c r="A2" t="s">
        <v>1</v>
      </c>
      <c r="B2">
        <f t="shared" si="0"/>
        <v>13</v>
      </c>
      <c r="C2" t="str">
        <f t="shared" si="1"/>
        <v>071-PDI-1080</v>
      </c>
      <c r="D2">
        <f t="shared" si="2"/>
        <v>63</v>
      </c>
      <c r="E2" t="str">
        <f t="shared" si="3"/>
        <v xml:space="preserve">Gas differential pressure indicator across cooler </v>
      </c>
    </row>
    <row r="3" spans="1:5">
      <c r="A3" t="s">
        <v>2</v>
      </c>
      <c r="B3">
        <f t="shared" si="0"/>
        <v>12</v>
      </c>
      <c r="C3" t="str">
        <f t="shared" si="1"/>
        <v>071-PT-1043</v>
      </c>
      <c r="D3">
        <f t="shared" si="2"/>
        <v>49</v>
      </c>
      <c r="E3" t="str">
        <f t="shared" si="3"/>
        <v xml:space="preserve">Gas to scrubber pressure transmitter </v>
      </c>
    </row>
    <row r="4" spans="1:5">
      <c r="A4" t="s">
        <v>3</v>
      </c>
      <c r="B4">
        <f t="shared" si="0"/>
        <v>13</v>
      </c>
      <c r="C4" t="str">
        <f t="shared" si="1"/>
        <v>071-TSI-1042</v>
      </c>
      <c r="D4">
        <f t="shared" si="2"/>
        <v>58</v>
      </c>
      <c r="E4" t="str">
        <f t="shared" si="3"/>
        <v xml:space="preserve">Gas to scrubber temperature safety indicator </v>
      </c>
    </row>
    <row r="5" spans="1:5">
      <c r="A5" t="s">
        <v>4</v>
      </c>
      <c r="B5">
        <f t="shared" si="0"/>
        <v>13</v>
      </c>
      <c r="C5" t="str">
        <f t="shared" si="1"/>
        <v>071-TIC-1043</v>
      </c>
      <c r="D5">
        <f t="shared" si="2"/>
        <v>62</v>
      </c>
      <c r="E5" t="str">
        <f t="shared" si="3"/>
        <v xml:space="preserve">Gas to scrubber temperature indicator controller </v>
      </c>
    </row>
    <row r="6" spans="1:5">
      <c r="A6" t="s">
        <v>5</v>
      </c>
      <c r="B6">
        <f t="shared" si="0"/>
        <v>12</v>
      </c>
      <c r="C6" t="str">
        <f t="shared" si="1"/>
        <v>104-PG-1045</v>
      </c>
      <c r="D6">
        <f t="shared" si="2"/>
        <v>49</v>
      </c>
      <c r="E6" t="str">
        <f t="shared" si="3"/>
        <v xml:space="preserve">Cooling medium supply pressure gauge </v>
      </c>
    </row>
    <row r="7" spans="1:5">
      <c r="A7" t="s">
        <v>6</v>
      </c>
      <c r="B7">
        <f t="shared" si="0"/>
        <v>13</v>
      </c>
      <c r="C7" t="str">
        <f t="shared" si="1"/>
        <v>104-PDI-1039</v>
      </c>
      <c r="D7">
        <f t="shared" si="2"/>
        <v>64</v>
      </c>
      <c r="E7" t="str">
        <f t="shared" si="3"/>
        <v xml:space="preserve">C.M. differential pressure indicator across cooler </v>
      </c>
    </row>
    <row r="8" spans="1:5">
      <c r="A8" t="s">
        <v>7</v>
      </c>
      <c r="B8">
        <f t="shared" si="0"/>
        <v>12</v>
      </c>
      <c r="C8" t="str">
        <f t="shared" si="1"/>
        <v>071-PG-1015</v>
      </c>
      <c r="D8">
        <f t="shared" si="2"/>
        <v>36</v>
      </c>
      <c r="E8" t="str">
        <f t="shared" si="3"/>
        <v xml:space="preserve">Scrubber pressure gauge </v>
      </c>
    </row>
    <row r="9" spans="1:5">
      <c r="A9" t="s">
        <v>8</v>
      </c>
      <c r="B9">
        <f t="shared" si="0"/>
        <v>12</v>
      </c>
      <c r="C9" t="str">
        <f t="shared" si="1"/>
        <v>071-LG-1007</v>
      </c>
      <c r="D9">
        <f t="shared" si="2"/>
        <v>33</v>
      </c>
      <c r="E9" t="str">
        <f t="shared" si="3"/>
        <v xml:space="preserve">Scrubber level gauge </v>
      </c>
    </row>
    <row r="10" spans="1:5">
      <c r="A10" t="s">
        <v>9</v>
      </c>
      <c r="B10">
        <f t="shared" si="0"/>
        <v>13</v>
      </c>
      <c r="C10" t="str">
        <f t="shared" si="1"/>
        <v>071-LSI-1013</v>
      </c>
      <c r="D10">
        <f t="shared" si="2"/>
        <v>45</v>
      </c>
      <c r="E10" t="str">
        <f t="shared" si="3"/>
        <v xml:space="preserve">Scrubber level safety indicator </v>
      </c>
    </row>
    <row r="11" spans="1:5">
      <c r="A11" t="s">
        <v>10</v>
      </c>
      <c r="B11">
        <f t="shared" si="0"/>
        <v>13</v>
      </c>
      <c r="C11" t="str">
        <f t="shared" si="1"/>
        <v>071-LIC-1014</v>
      </c>
      <c r="D11">
        <f t="shared" si="2"/>
        <v>48</v>
      </c>
      <c r="E11" t="str">
        <f t="shared" si="3"/>
        <v>Scrubber level indicator controller</v>
      </c>
    </row>
    <row r="12" spans="1:5">
      <c r="B12" t="e">
        <f t="shared" si="0"/>
        <v>#VALUE!</v>
      </c>
      <c r="C12" t="e">
        <f t="shared" si="1"/>
        <v>#VALUE!</v>
      </c>
      <c r="D12">
        <f t="shared" si="2"/>
        <v>0</v>
      </c>
      <c r="E12" t="e">
        <f t="shared" si="3"/>
        <v>#VALUE!</v>
      </c>
    </row>
    <row r="13" spans="1:5">
      <c r="A13" t="s">
        <v>11</v>
      </c>
      <c r="B13">
        <f t="shared" si="0"/>
        <v>13</v>
      </c>
      <c r="C13" t="str">
        <f t="shared" si="1"/>
        <v>071-PSI-1047</v>
      </c>
      <c r="D13">
        <f t="shared" si="2"/>
        <v>58</v>
      </c>
      <c r="E13" t="str">
        <f t="shared" si="3"/>
        <v xml:space="preserve">Compressor suction pressure safety indicator </v>
      </c>
    </row>
    <row r="14" spans="1:5">
      <c r="A14" t="s">
        <v>12</v>
      </c>
      <c r="B14">
        <f t="shared" si="0"/>
        <v>13</v>
      </c>
      <c r="C14" t="str">
        <f t="shared" si="1"/>
        <v>071-TSI-1045</v>
      </c>
      <c r="D14">
        <f t="shared" si="2"/>
        <v>63</v>
      </c>
      <c r="E14" t="str">
        <f t="shared" si="3"/>
        <v xml:space="preserve">Compressor discharge temperature safety indicator </v>
      </c>
    </row>
    <row r="15" spans="1:5">
      <c r="A15" t="s">
        <v>13</v>
      </c>
      <c r="B15">
        <f t="shared" si="0"/>
        <v>12</v>
      </c>
      <c r="C15" t="str">
        <f t="shared" si="1"/>
        <v>071-TG-1044</v>
      </c>
      <c r="D15">
        <f t="shared" si="2"/>
        <v>51</v>
      </c>
      <c r="E15" t="str">
        <f t="shared" si="3"/>
        <v xml:space="preserve">Compressor discharge temperature gauge </v>
      </c>
    </row>
    <row r="16" spans="1:5">
      <c r="A16" t="s">
        <v>14</v>
      </c>
      <c r="B16">
        <f t="shared" si="0"/>
        <v>13</v>
      </c>
      <c r="C16" t="str">
        <f t="shared" si="1"/>
        <v>071-PSI-1048</v>
      </c>
      <c r="D16">
        <f t="shared" si="2"/>
        <v>60</v>
      </c>
      <c r="E16" t="str">
        <f t="shared" si="3"/>
        <v xml:space="preserve">Compressor discharge pressure safety indicator </v>
      </c>
    </row>
    <row r="17" spans="1:5">
      <c r="A17" t="s">
        <v>15</v>
      </c>
      <c r="B17">
        <f t="shared" si="0"/>
        <v>13</v>
      </c>
      <c r="C17" t="str">
        <f t="shared" si="1"/>
        <v>071-PIC-1049</v>
      </c>
      <c r="D17">
        <f t="shared" si="2"/>
        <v>118</v>
      </c>
      <c r="E17" t="str">
        <f t="shared" si="3"/>
        <v>Compressor suction pressure indicator controller (with high discharge pressure override from 071-PT-1049)</v>
      </c>
    </row>
    <row r="18" spans="1:5">
      <c r="A18" t="s">
        <v>16</v>
      </c>
      <c r="B18">
        <f t="shared" si="0"/>
        <v>12</v>
      </c>
      <c r="C18" t="str">
        <f t="shared" si="1"/>
        <v>071-FI-1027</v>
      </c>
      <c r="D18">
        <f t="shared" si="2"/>
        <v>47</v>
      </c>
      <c r="E18" t="str">
        <f t="shared" si="3"/>
        <v>Compressor discharge flow indicator</v>
      </c>
    </row>
    <row r="19" spans="1:5">
      <c r="B19" t="e">
        <f t="shared" si="0"/>
        <v>#VALUE!</v>
      </c>
      <c r="C19" t="e">
        <f t="shared" si="1"/>
        <v>#VALUE!</v>
      </c>
      <c r="D19">
        <f t="shared" si="2"/>
        <v>0</v>
      </c>
      <c r="E19" t="e">
        <f t="shared" si="3"/>
        <v>#VALUE!</v>
      </c>
    </row>
    <row r="20" spans="1:5">
      <c r="A20" t="s">
        <v>17</v>
      </c>
      <c r="B20">
        <f t="shared" si="0"/>
        <v>9</v>
      </c>
      <c r="C20" t="str">
        <f t="shared" si="1"/>
        <v>071-6544</v>
      </c>
      <c r="D20">
        <f t="shared" si="2"/>
        <v>43</v>
      </c>
      <c r="E20" t="str">
        <f t="shared" si="3"/>
        <v>071-SDV-1051 upstream manual valve</v>
      </c>
    </row>
    <row r="21" spans="1:5">
      <c r="A21" t="s">
        <v>18</v>
      </c>
      <c r="B21">
        <f t="shared" si="0"/>
        <v>13</v>
      </c>
      <c r="C21" t="str">
        <f t="shared" si="1"/>
        <v>071-SDV-1051</v>
      </c>
      <c r="D21">
        <f t="shared" si="2"/>
        <v>53</v>
      </c>
      <c r="E21" t="str">
        <f t="shared" si="3"/>
        <v>Flash gas from separators shutdown valve</v>
      </c>
    </row>
    <row r="22" spans="1:5">
      <c r="A22" t="s">
        <v>19</v>
      </c>
      <c r="B22">
        <f t="shared" si="0"/>
        <v>9</v>
      </c>
      <c r="C22" t="str">
        <f t="shared" si="1"/>
        <v>104-6554</v>
      </c>
      <c r="D22">
        <f t="shared" si="2"/>
        <v>36</v>
      </c>
      <c r="E22" t="str">
        <f t="shared" si="3"/>
        <v>Cooling medium supply valve</v>
      </c>
    </row>
    <row r="23" spans="1:5">
      <c r="A23" t="s">
        <v>20</v>
      </c>
      <c r="B23">
        <f t="shared" si="0"/>
        <v>9</v>
      </c>
      <c r="C23" t="str">
        <f t="shared" si="1"/>
        <v>104-6555</v>
      </c>
      <c r="D23">
        <f t="shared" si="2"/>
        <v>37</v>
      </c>
      <c r="E23" t="str">
        <f t="shared" si="3"/>
        <v xml:space="preserve">104-PSV-1043 upstream valve </v>
      </c>
    </row>
    <row r="24" spans="1:5">
      <c r="A24" t="s">
        <v>21</v>
      </c>
      <c r="B24">
        <f t="shared" si="0"/>
        <v>13</v>
      </c>
      <c r="C24" t="str">
        <f t="shared" si="1"/>
        <v>104-TCV-1049</v>
      </c>
      <c r="D24">
        <f t="shared" si="2"/>
        <v>48</v>
      </c>
      <c r="E24" t="str">
        <f t="shared" si="3"/>
        <v>Cooling medium return control valve</v>
      </c>
    </row>
    <row r="25" spans="1:5">
      <c r="A25" t="s">
        <v>22</v>
      </c>
      <c r="B25">
        <f t="shared" si="0"/>
        <v>9</v>
      </c>
      <c r="C25" t="str">
        <f t="shared" si="1"/>
        <v>104-6563</v>
      </c>
      <c r="D25">
        <f t="shared" si="2"/>
        <v>38</v>
      </c>
      <c r="E25" t="str">
        <f t="shared" si="3"/>
        <v>104-TCV-1049 downstream valve</v>
      </c>
    </row>
    <row r="26" spans="1:5">
      <c r="A26" t="s">
        <v>23</v>
      </c>
      <c r="B26">
        <f t="shared" si="0"/>
        <v>9</v>
      </c>
      <c r="C26" t="str">
        <f t="shared" si="1"/>
        <v>071-6565</v>
      </c>
      <c r="D26">
        <f t="shared" si="2"/>
        <v>38</v>
      </c>
      <c r="E26" t="str">
        <f t="shared" si="3"/>
        <v xml:space="preserve">071-PSV-1015 upstream valves </v>
      </c>
    </row>
    <row r="27" spans="1:5">
      <c r="A27" t="s">
        <v>24</v>
      </c>
      <c r="B27">
        <f t="shared" si="0"/>
        <v>9</v>
      </c>
      <c r="C27" t="str">
        <f t="shared" si="1"/>
        <v>080-6568</v>
      </c>
      <c r="D27">
        <f t="shared" si="2"/>
        <v>38</v>
      </c>
      <c r="E27" t="str">
        <f t="shared" si="3"/>
        <v>071-PSV-1015 downstream valve</v>
      </c>
    </row>
    <row r="28" spans="1:5">
      <c r="A28" t="s">
        <v>25</v>
      </c>
      <c r="B28">
        <f t="shared" si="0"/>
        <v>9</v>
      </c>
      <c r="C28" t="str">
        <f t="shared" si="1"/>
        <v>084-6573</v>
      </c>
      <c r="D28">
        <f t="shared" si="2"/>
        <v>43</v>
      </c>
      <c r="E28" t="str">
        <f t="shared" si="3"/>
        <v>MBF-2315 bottom drain outlet valve</v>
      </c>
    </row>
    <row r="29" spans="1:5">
      <c r="A29" t="s">
        <v>26</v>
      </c>
      <c r="B29">
        <f t="shared" si="0"/>
        <v>13</v>
      </c>
      <c r="C29" t="str">
        <f t="shared" si="1"/>
        <v>071-SDV-1071</v>
      </c>
      <c r="D29">
        <f t="shared" si="2"/>
        <v>60</v>
      </c>
      <c r="E29" t="str">
        <f t="shared" si="3"/>
        <v xml:space="preserve">Condensate outlet from MBF-2315 shutdown valve </v>
      </c>
    </row>
    <row r="30" spans="1:5">
      <c r="A30" t="s">
        <v>27</v>
      </c>
      <c r="B30">
        <f t="shared" si="0"/>
        <v>13</v>
      </c>
      <c r="C30" t="str">
        <f t="shared" si="1"/>
        <v>071-LCV-1016</v>
      </c>
      <c r="D30">
        <f t="shared" si="2"/>
        <v>64</v>
      </c>
      <c r="E30" t="str">
        <f t="shared" si="3"/>
        <v>Condensate outlet from MBF-2315 level control valve</v>
      </c>
    </row>
    <row r="31" spans="1:5">
      <c r="A31" t="s">
        <v>28</v>
      </c>
      <c r="B31">
        <f t="shared" si="0"/>
        <v>9</v>
      </c>
      <c r="C31" t="str">
        <f t="shared" si="1"/>
        <v>071-6582</v>
      </c>
      <c r="D31">
        <f t="shared" si="2"/>
        <v>38</v>
      </c>
      <c r="E31" t="str">
        <f t="shared" si="3"/>
        <v>071-LCV-1016 downstream valve</v>
      </c>
    </row>
    <row r="32" spans="1:5">
      <c r="B32" t="e">
        <f t="shared" si="0"/>
        <v>#VALUE!</v>
      </c>
      <c r="C32" t="e">
        <f t="shared" si="1"/>
        <v>#VALUE!</v>
      </c>
      <c r="D32">
        <f t="shared" si="2"/>
        <v>0</v>
      </c>
      <c r="E32" t="e">
        <f t="shared" si="3"/>
        <v>#VALUE!</v>
      </c>
    </row>
    <row r="33" spans="1:5">
      <c r="A33" t="s">
        <v>29</v>
      </c>
      <c r="B33">
        <f t="shared" ref="B33:B64" si="4">SEARCH(" ",A33)</f>
        <v>13</v>
      </c>
      <c r="C33" t="str">
        <f t="shared" ref="C33:C64" si="5">LEFT(A33,B33-1)</f>
        <v>071-PCV-1057</v>
      </c>
      <c r="D33">
        <f t="shared" ref="D33:D64" si="6">LEN(A33)</f>
        <v>45</v>
      </c>
      <c r="E33" t="str">
        <f t="shared" ref="E33:E64" si="7">RIGHT(A33,D33-B33)</f>
        <v>Compressor recycle control valve</v>
      </c>
    </row>
    <row r="34" spans="1:5">
      <c r="A34" t="s">
        <v>30</v>
      </c>
      <c r="B34">
        <f t="shared" si="4"/>
        <v>9</v>
      </c>
      <c r="C34" t="str">
        <f t="shared" si="5"/>
        <v>071-6586</v>
      </c>
      <c r="D34">
        <f t="shared" si="6"/>
        <v>37</v>
      </c>
      <c r="E34" t="str">
        <f t="shared" si="7"/>
        <v>071-PSV-1018 upstream valves</v>
      </c>
    </row>
    <row r="35" spans="1:5">
      <c r="A35" t="s">
        <v>31</v>
      </c>
      <c r="B35">
        <f t="shared" si="4"/>
        <v>9</v>
      </c>
      <c r="C35" t="str">
        <f t="shared" si="5"/>
        <v>080-6589</v>
      </c>
      <c r="D35">
        <f t="shared" si="6"/>
        <v>38</v>
      </c>
      <c r="E35" t="str">
        <f t="shared" si="7"/>
        <v>071-PSV-1018 downstream valve</v>
      </c>
    </row>
    <row r="36" spans="1:5">
      <c r="A36" t="s">
        <v>32</v>
      </c>
      <c r="B36">
        <f t="shared" si="4"/>
        <v>13</v>
      </c>
      <c r="C36" t="str">
        <f t="shared" si="5"/>
        <v>071-BDV-1063</v>
      </c>
      <c r="D36">
        <f t="shared" si="6"/>
        <v>48</v>
      </c>
      <c r="E36" t="str">
        <f t="shared" si="7"/>
        <v>Compressor discharge blowdown valve</v>
      </c>
    </row>
    <row r="37" spans="1:5">
      <c r="A37" t="s">
        <v>33</v>
      </c>
      <c r="B37">
        <f t="shared" si="4"/>
        <v>9</v>
      </c>
      <c r="C37" t="str">
        <f t="shared" si="5"/>
        <v>080-6596</v>
      </c>
      <c r="D37">
        <f t="shared" si="6"/>
        <v>38</v>
      </c>
      <c r="E37" t="str">
        <f t="shared" si="7"/>
        <v>071-BDV-1063 downstream valve</v>
      </c>
    </row>
    <row r="38" spans="1:5">
      <c r="A38" t="s">
        <v>34</v>
      </c>
      <c r="B38">
        <f t="shared" si="4"/>
        <v>13</v>
      </c>
      <c r="C38" t="str">
        <f t="shared" si="5"/>
        <v>071-SDV-1052</v>
      </c>
      <c r="D38">
        <f t="shared" si="6"/>
        <v>48</v>
      </c>
      <c r="E38" t="str">
        <f t="shared" si="7"/>
        <v>Compressor discharge shutdown valve</v>
      </c>
    </row>
    <row r="39" spans="1:5">
      <c r="A39" t="s">
        <v>35</v>
      </c>
      <c r="B39">
        <f t="shared" si="4"/>
        <v>9</v>
      </c>
      <c r="C39" t="str">
        <f t="shared" si="5"/>
        <v>071-6594</v>
      </c>
      <c r="D39">
        <f t="shared" si="6"/>
        <v>38</v>
      </c>
      <c r="E39" t="str">
        <f t="shared" si="7"/>
        <v>071-SDV-1052 downstream valve</v>
      </c>
    </row>
    <row r="40" spans="1:5">
      <c r="B40" t="e">
        <f t="shared" si="4"/>
        <v>#VALUE!</v>
      </c>
      <c r="C40" t="e">
        <f t="shared" si="5"/>
        <v>#VALUE!</v>
      </c>
      <c r="D40">
        <f t="shared" si="6"/>
        <v>0</v>
      </c>
      <c r="E40" t="e">
        <f t="shared" si="7"/>
        <v>#VALUE!</v>
      </c>
    </row>
    <row r="41" spans="1:5">
      <c r="A41" t="s">
        <v>36</v>
      </c>
      <c r="B41">
        <f t="shared" si="4"/>
        <v>12</v>
      </c>
      <c r="C41" t="str">
        <f t="shared" si="5"/>
        <v>071-TG-1047</v>
      </c>
      <c r="D41">
        <f t="shared" si="6"/>
        <v>44</v>
      </c>
      <c r="E41" t="str">
        <f t="shared" si="7"/>
        <v xml:space="preserve">Gas to cooler temperature gauge </v>
      </c>
    </row>
    <row r="42" spans="1:5">
      <c r="A42" t="s">
        <v>37</v>
      </c>
      <c r="B42">
        <f t="shared" si="4"/>
        <v>13</v>
      </c>
      <c r="C42" t="str">
        <f t="shared" si="5"/>
        <v>071-PDI-1081</v>
      </c>
      <c r="D42">
        <f t="shared" si="6"/>
        <v>63</v>
      </c>
      <c r="E42" t="str">
        <f t="shared" si="7"/>
        <v xml:space="preserve">Gas differential pressure indicator across cooler </v>
      </c>
    </row>
    <row r="43" spans="1:5">
      <c r="A43" t="s">
        <v>38</v>
      </c>
      <c r="B43">
        <f t="shared" si="4"/>
        <v>12</v>
      </c>
      <c r="C43" t="str">
        <f t="shared" si="5"/>
        <v>071-PT-1051</v>
      </c>
      <c r="D43">
        <f t="shared" si="6"/>
        <v>49</v>
      </c>
      <c r="E43" t="str">
        <f t="shared" si="7"/>
        <v xml:space="preserve">Gas to scrubber pressure transmitter </v>
      </c>
    </row>
    <row r="44" spans="1:5">
      <c r="A44" t="s">
        <v>39</v>
      </c>
      <c r="B44">
        <f t="shared" si="4"/>
        <v>13</v>
      </c>
      <c r="C44" t="str">
        <f t="shared" si="5"/>
        <v>071-TSI-1048</v>
      </c>
      <c r="D44">
        <f t="shared" si="6"/>
        <v>58</v>
      </c>
      <c r="E44" t="str">
        <f t="shared" si="7"/>
        <v xml:space="preserve">Gas to scrubber temperature safety indicator </v>
      </c>
    </row>
    <row r="45" spans="1:5">
      <c r="A45" t="s">
        <v>40</v>
      </c>
      <c r="B45">
        <f t="shared" si="4"/>
        <v>13</v>
      </c>
      <c r="C45" t="str">
        <f t="shared" si="5"/>
        <v>071-TIC-1049</v>
      </c>
      <c r="D45">
        <f t="shared" si="6"/>
        <v>62</v>
      </c>
      <c r="E45" t="str">
        <f t="shared" si="7"/>
        <v xml:space="preserve">Gas to scrubber temperature indicator controller </v>
      </c>
    </row>
    <row r="46" spans="1:5">
      <c r="A46" t="s">
        <v>41</v>
      </c>
      <c r="B46">
        <f t="shared" si="4"/>
        <v>12</v>
      </c>
      <c r="C46" t="str">
        <f t="shared" si="5"/>
        <v>104-PG-1046</v>
      </c>
      <c r="D46">
        <f t="shared" si="6"/>
        <v>49</v>
      </c>
      <c r="E46" t="str">
        <f t="shared" si="7"/>
        <v xml:space="preserve">Cooling medium supply pressure gauge </v>
      </c>
    </row>
    <row r="47" spans="1:5">
      <c r="A47" t="s">
        <v>42</v>
      </c>
      <c r="B47">
        <f t="shared" si="4"/>
        <v>13</v>
      </c>
      <c r="C47" t="str">
        <f t="shared" si="5"/>
        <v>104-PDI-1040</v>
      </c>
      <c r="D47">
        <f t="shared" si="6"/>
        <v>64</v>
      </c>
      <c r="E47" t="str">
        <f t="shared" si="7"/>
        <v xml:space="preserve">C.M. differential pressure indicator across cooler </v>
      </c>
    </row>
    <row r="48" spans="1:5">
      <c r="A48" t="s">
        <v>43</v>
      </c>
      <c r="B48">
        <f t="shared" si="4"/>
        <v>12</v>
      </c>
      <c r="C48" t="str">
        <f t="shared" si="5"/>
        <v>071-PG-1016</v>
      </c>
      <c r="D48">
        <f t="shared" si="6"/>
        <v>36</v>
      </c>
      <c r="E48" t="str">
        <f t="shared" si="7"/>
        <v xml:space="preserve">Scrubber pressure gauge </v>
      </c>
    </row>
    <row r="49" spans="1:5">
      <c r="A49" t="s">
        <v>44</v>
      </c>
      <c r="B49">
        <f t="shared" si="4"/>
        <v>12</v>
      </c>
      <c r="C49" t="str">
        <f t="shared" si="5"/>
        <v>071-LG-1008</v>
      </c>
      <c r="D49">
        <f t="shared" si="6"/>
        <v>33</v>
      </c>
      <c r="E49" t="str">
        <f t="shared" si="7"/>
        <v xml:space="preserve">Scrubber level gauge </v>
      </c>
    </row>
    <row r="50" spans="1:5">
      <c r="A50" t="s">
        <v>45</v>
      </c>
      <c r="B50">
        <f t="shared" si="4"/>
        <v>13</v>
      </c>
      <c r="C50" t="str">
        <f t="shared" si="5"/>
        <v>071-LSI-1015</v>
      </c>
      <c r="D50">
        <f t="shared" si="6"/>
        <v>45</v>
      </c>
      <c r="E50" t="str">
        <f t="shared" si="7"/>
        <v xml:space="preserve">Scrubber level safety indicator </v>
      </c>
    </row>
    <row r="51" spans="1:5">
      <c r="A51" t="s">
        <v>46</v>
      </c>
      <c r="B51">
        <f t="shared" si="4"/>
        <v>13</v>
      </c>
      <c r="C51" t="str">
        <f t="shared" si="5"/>
        <v>071-LIC-1016</v>
      </c>
      <c r="D51">
        <f t="shared" si="6"/>
        <v>48</v>
      </c>
      <c r="E51" t="str">
        <f t="shared" si="7"/>
        <v>Scrubber level indicator controller</v>
      </c>
    </row>
    <row r="52" spans="1:5">
      <c r="B52" t="e">
        <f t="shared" si="4"/>
        <v>#VALUE!</v>
      </c>
      <c r="C52" t="e">
        <f t="shared" si="5"/>
        <v>#VALUE!</v>
      </c>
      <c r="D52">
        <f t="shared" si="6"/>
        <v>0</v>
      </c>
      <c r="E52" t="e">
        <f t="shared" si="7"/>
        <v>#VALUE!</v>
      </c>
    </row>
    <row r="53" spans="1:5">
      <c r="A53" t="s">
        <v>47</v>
      </c>
      <c r="B53">
        <f t="shared" si="4"/>
        <v>13</v>
      </c>
      <c r="C53" t="str">
        <f t="shared" si="5"/>
        <v>071-PSI-1055</v>
      </c>
      <c r="D53">
        <f t="shared" si="6"/>
        <v>58</v>
      </c>
      <c r="E53" t="str">
        <f t="shared" si="7"/>
        <v xml:space="preserve">Compressor suction pressure safety indicator </v>
      </c>
    </row>
    <row r="54" spans="1:5">
      <c r="A54" t="s">
        <v>48</v>
      </c>
      <c r="B54">
        <f t="shared" si="4"/>
        <v>13</v>
      </c>
      <c r="C54" t="str">
        <f t="shared" si="5"/>
        <v>071-TSI-1051</v>
      </c>
      <c r="D54">
        <f t="shared" si="6"/>
        <v>63</v>
      </c>
      <c r="E54" t="str">
        <f t="shared" si="7"/>
        <v xml:space="preserve">Compressor discharge temperature safety indicator </v>
      </c>
    </row>
    <row r="55" spans="1:5">
      <c r="A55" t="s">
        <v>49</v>
      </c>
      <c r="B55">
        <f t="shared" si="4"/>
        <v>12</v>
      </c>
      <c r="C55" t="str">
        <f t="shared" si="5"/>
        <v>071-TG-1050</v>
      </c>
      <c r="D55">
        <f t="shared" si="6"/>
        <v>51</v>
      </c>
      <c r="E55" t="str">
        <f t="shared" si="7"/>
        <v xml:space="preserve">Compressor discharge temperature gauge </v>
      </c>
    </row>
    <row r="56" spans="1:5">
      <c r="A56" t="s">
        <v>50</v>
      </c>
      <c r="B56">
        <f t="shared" si="4"/>
        <v>13</v>
      </c>
      <c r="C56" t="str">
        <f t="shared" si="5"/>
        <v>071-PSI-1056</v>
      </c>
      <c r="D56">
        <f t="shared" si="6"/>
        <v>60</v>
      </c>
      <c r="E56" t="str">
        <f t="shared" si="7"/>
        <v xml:space="preserve">Compressor discharge pressure safety indicator </v>
      </c>
    </row>
    <row r="57" spans="1:5">
      <c r="A57" t="s">
        <v>51</v>
      </c>
      <c r="B57">
        <f t="shared" si="4"/>
        <v>13</v>
      </c>
      <c r="C57" t="str">
        <f t="shared" si="5"/>
        <v>071-PIC-1057</v>
      </c>
      <c r="D57">
        <f t="shared" si="6"/>
        <v>119</v>
      </c>
      <c r="E57" t="str">
        <f t="shared" si="7"/>
        <v xml:space="preserve">Compressor suction pressure indicator controller (with high discharge pressure override from 071-PT-1057) </v>
      </c>
    </row>
    <row r="58" spans="1:5">
      <c r="A58" t="s">
        <v>52</v>
      </c>
      <c r="B58">
        <f t="shared" si="4"/>
        <v>12</v>
      </c>
      <c r="C58" t="str">
        <f t="shared" si="5"/>
        <v>071-FI-1028</v>
      </c>
      <c r="D58">
        <f t="shared" si="6"/>
        <v>47</v>
      </c>
      <c r="E58" t="str">
        <f t="shared" si="7"/>
        <v>Compressor discharge flow indicator</v>
      </c>
    </row>
    <row r="59" spans="1:5">
      <c r="B59" t="e">
        <f t="shared" si="4"/>
        <v>#VALUE!</v>
      </c>
      <c r="C59" t="e">
        <f t="shared" si="5"/>
        <v>#VALUE!</v>
      </c>
      <c r="D59">
        <f t="shared" si="6"/>
        <v>0</v>
      </c>
      <c r="E59" t="e">
        <f t="shared" si="7"/>
        <v>#VALUE!</v>
      </c>
    </row>
    <row r="60" spans="1:5">
      <c r="B60" t="e">
        <f t="shared" si="4"/>
        <v>#VALUE!</v>
      </c>
      <c r="C60" t="e">
        <f t="shared" si="5"/>
        <v>#VALUE!</v>
      </c>
      <c r="D60">
        <f t="shared" si="6"/>
        <v>0</v>
      </c>
      <c r="E60" t="e">
        <f t="shared" si="7"/>
        <v>#VALUE!</v>
      </c>
    </row>
    <row r="61" spans="1:5">
      <c r="B61" t="e">
        <f t="shared" si="4"/>
        <v>#VALUE!</v>
      </c>
      <c r="C61" t="e">
        <f t="shared" si="5"/>
        <v>#VALUE!</v>
      </c>
      <c r="D61">
        <f t="shared" si="6"/>
        <v>0</v>
      </c>
      <c r="E61" t="e">
        <f t="shared" si="7"/>
        <v>#VALUE!</v>
      </c>
    </row>
    <row r="62" spans="1:5">
      <c r="A62" t="s">
        <v>53</v>
      </c>
      <c r="B62">
        <f t="shared" si="4"/>
        <v>9</v>
      </c>
      <c r="C62" t="str">
        <f t="shared" si="5"/>
        <v>071-4949</v>
      </c>
      <c r="D62">
        <f t="shared" si="6"/>
        <v>53</v>
      </c>
      <c r="E62" t="str">
        <f t="shared" si="7"/>
        <v>Main compressor 1st stage inlet manual valve</v>
      </c>
    </row>
    <row r="63" spans="1:5">
      <c r="A63" t="s">
        <v>54</v>
      </c>
      <c r="B63">
        <f t="shared" si="4"/>
        <v>13</v>
      </c>
      <c r="C63" t="str">
        <f t="shared" si="5"/>
        <v>071-SDV-1025</v>
      </c>
      <c r="D63">
        <f t="shared" si="6"/>
        <v>59</v>
      </c>
      <c r="E63" t="str">
        <f t="shared" si="7"/>
        <v>Main compressor 1st stage inlet shutdown valve</v>
      </c>
    </row>
    <row r="64" spans="1:5">
      <c r="B64" t="e">
        <f t="shared" si="4"/>
        <v>#VALUE!</v>
      </c>
      <c r="C64" t="e">
        <f t="shared" si="5"/>
        <v>#VALUE!</v>
      </c>
      <c r="D64">
        <f t="shared" si="6"/>
        <v>0</v>
      </c>
      <c r="E64" t="e">
        <f t="shared" si="7"/>
        <v>#VALUE!</v>
      </c>
    </row>
    <row r="65" spans="1:5">
      <c r="A65" t="s">
        <v>55</v>
      </c>
      <c r="B65">
        <f t="shared" ref="B65:B96" si="8">SEARCH(" ",A65)</f>
        <v>13</v>
      </c>
      <c r="C65" t="str">
        <f t="shared" ref="C65:C96" si="9">LEFT(A65,B65-1)</f>
        <v>071-SDV-1026</v>
      </c>
      <c r="D65">
        <f t="shared" ref="D65:D96" si="10">LEN(A65)</f>
        <v>81</v>
      </c>
      <c r="E65" t="str">
        <f t="shared" ref="E65:E96" si="11">RIGHT(A65,D65-B65)</f>
        <v>Main compressor 1st stage inlet pressurization bypass shutdown valve</v>
      </c>
    </row>
    <row r="66" spans="1:5">
      <c r="A66" t="s">
        <v>56</v>
      </c>
      <c r="B66">
        <f t="shared" si="8"/>
        <v>13</v>
      </c>
      <c r="C66" t="str">
        <f t="shared" si="9"/>
        <v>071-PCV-1074</v>
      </c>
      <c r="D66">
        <f t="shared" si="10"/>
        <v>67</v>
      </c>
      <c r="E66" t="str">
        <f t="shared" si="11"/>
        <v>Main compressor 1st stage inlet pressure control valve</v>
      </c>
    </row>
    <row r="67" spans="1:5">
      <c r="A67" t="s">
        <v>57</v>
      </c>
      <c r="B67">
        <f t="shared" si="8"/>
        <v>9</v>
      </c>
      <c r="C67" t="str">
        <f t="shared" si="9"/>
        <v>071-4974</v>
      </c>
      <c r="D67">
        <f t="shared" si="10"/>
        <v>37</v>
      </c>
      <c r="E67" t="str">
        <f t="shared" si="11"/>
        <v>071-PSV-1007 up stream valve</v>
      </c>
    </row>
    <row r="68" spans="1:5">
      <c r="A68" t="s">
        <v>58</v>
      </c>
      <c r="B68">
        <f t="shared" si="8"/>
        <v>9</v>
      </c>
      <c r="C68" t="str">
        <f t="shared" si="9"/>
        <v>080-4977</v>
      </c>
      <c r="D68">
        <f t="shared" si="10"/>
        <v>39</v>
      </c>
      <c r="E68" t="str">
        <f t="shared" si="11"/>
        <v>071-PSV-1007 down stream valve</v>
      </c>
    </row>
    <row r="69" spans="1:5">
      <c r="A69" t="s">
        <v>59</v>
      </c>
      <c r="B69">
        <f t="shared" si="8"/>
        <v>13</v>
      </c>
      <c r="C69" t="str">
        <f t="shared" si="9"/>
        <v>071-SDV-1027</v>
      </c>
      <c r="D69">
        <f t="shared" si="10"/>
        <v>70</v>
      </c>
      <c r="E69" t="str">
        <f t="shared" si="11"/>
        <v xml:space="preserve">1st stage suction scrubber MBF-2375 level shutdown valve </v>
      </c>
    </row>
    <row r="70" spans="1:5">
      <c r="A70" t="s">
        <v>60</v>
      </c>
      <c r="B70">
        <f t="shared" si="8"/>
        <v>13</v>
      </c>
      <c r="C70" t="str">
        <f t="shared" si="9"/>
        <v>071-LCV-1008</v>
      </c>
      <c r="D70">
        <f t="shared" si="10"/>
        <v>68</v>
      </c>
      <c r="E70" t="str">
        <f t="shared" si="11"/>
        <v>1st stage suction scrubber MBF-2375 level control valve</v>
      </c>
    </row>
    <row r="71" spans="1:5">
      <c r="A71" t="s">
        <v>61</v>
      </c>
      <c r="B71">
        <f t="shared" si="8"/>
        <v>9</v>
      </c>
      <c r="C71" t="str">
        <f t="shared" si="9"/>
        <v>071-4972</v>
      </c>
      <c r="D71">
        <f t="shared" si="10"/>
        <v>38</v>
      </c>
      <c r="E71" t="str">
        <f t="shared" si="11"/>
        <v>071-LCV-1008 downstream valve</v>
      </c>
    </row>
    <row r="72" spans="1:5">
      <c r="A72" t="s">
        <v>62</v>
      </c>
      <c r="B72">
        <f t="shared" si="8"/>
        <v>9</v>
      </c>
      <c r="C72" t="str">
        <f t="shared" si="9"/>
        <v>084-4959</v>
      </c>
      <c r="D72">
        <f t="shared" si="10"/>
        <v>64</v>
      </c>
      <c r="E72" t="str">
        <f t="shared" si="11"/>
        <v xml:space="preserve">1st stage suction scrubber MBF-2375 closed drain valve </v>
      </c>
    </row>
    <row r="73" spans="1:5">
      <c r="A73" t="s">
        <v>63</v>
      </c>
      <c r="B73">
        <f t="shared" si="8"/>
        <v>9</v>
      </c>
      <c r="C73" t="str">
        <f t="shared" si="9"/>
        <v>084-4961</v>
      </c>
      <c r="D73">
        <f t="shared" si="10"/>
        <v>70</v>
      </c>
      <c r="E73" t="str">
        <f t="shared" si="11"/>
        <v>1st stage suction scrubber MBF-2375 closed drain header valve</v>
      </c>
    </row>
    <row r="74" spans="1:5">
      <c r="A74" t="s">
        <v>64</v>
      </c>
      <c r="B74">
        <f t="shared" si="8"/>
        <v>9</v>
      </c>
      <c r="C74" t="str">
        <f t="shared" si="9"/>
        <v>071-4986</v>
      </c>
      <c r="D74">
        <f t="shared" si="10"/>
        <v>62</v>
      </c>
      <c r="E74" t="str">
        <f t="shared" si="11"/>
        <v xml:space="preserve">071-SP-2410 1st stage suction sample upstream device </v>
      </c>
    </row>
    <row r="75" spans="1:5">
      <c r="A75" t="s">
        <v>65</v>
      </c>
      <c r="B75">
        <f t="shared" si="8"/>
        <v>9</v>
      </c>
      <c r="C75" t="str">
        <f t="shared" si="9"/>
        <v>071-4990</v>
      </c>
      <c r="D75">
        <f t="shared" si="10"/>
        <v>37</v>
      </c>
      <c r="E75" t="str">
        <f t="shared" si="11"/>
        <v>071-PSV-1008 up stream valve</v>
      </c>
    </row>
    <row r="76" spans="1:5">
      <c r="A76" t="s">
        <v>66</v>
      </c>
      <c r="B76">
        <f t="shared" si="8"/>
        <v>9</v>
      </c>
      <c r="C76" t="str">
        <f t="shared" si="9"/>
        <v>080-4993</v>
      </c>
      <c r="D76">
        <f t="shared" si="10"/>
        <v>39</v>
      </c>
      <c r="E76" t="str">
        <f t="shared" si="11"/>
        <v>071-PSV-1008 down stream valve</v>
      </c>
    </row>
    <row r="77" spans="1:5">
      <c r="A77" t="s">
        <v>67</v>
      </c>
      <c r="B77">
        <f t="shared" si="8"/>
        <v>13</v>
      </c>
      <c r="C77" t="str">
        <f t="shared" si="9"/>
        <v>071-FCV-1019</v>
      </c>
      <c r="D77">
        <f t="shared" si="10"/>
        <v>81</v>
      </c>
      <c r="E77" t="str">
        <f t="shared" si="11"/>
        <v xml:space="preserve">1st stage discharge recycle flow control valve (anti-surge control) </v>
      </c>
    </row>
    <row r="78" spans="1:5">
      <c r="A78" t="s">
        <v>68</v>
      </c>
      <c r="B78">
        <f t="shared" si="8"/>
        <v>13</v>
      </c>
      <c r="C78" t="str">
        <f t="shared" si="9"/>
        <v>071-PCV-1098</v>
      </c>
      <c r="D78">
        <f t="shared" si="10"/>
        <v>78</v>
      </c>
      <c r="E78" t="str">
        <f t="shared" si="11"/>
        <v>1st stage discharge recycle flow control valve (capacity control)</v>
      </c>
    </row>
    <row r="79" spans="1:5">
      <c r="A79" t="s">
        <v>69</v>
      </c>
      <c r="B79">
        <f t="shared" si="8"/>
        <v>9</v>
      </c>
      <c r="C79" t="str">
        <f t="shared" si="9"/>
        <v>104-4998</v>
      </c>
      <c r="D79">
        <f t="shared" si="10"/>
        <v>49</v>
      </c>
      <c r="E79" t="str">
        <f t="shared" si="11"/>
        <v xml:space="preserve">Cooling medium supply to HGB-2355 valve </v>
      </c>
    </row>
    <row r="80" spans="1:5">
      <c r="A80" t="s">
        <v>70</v>
      </c>
      <c r="B80">
        <f t="shared" si="8"/>
        <v>13</v>
      </c>
      <c r="C80" t="str">
        <f t="shared" si="9"/>
        <v>071-TCV-1026</v>
      </c>
      <c r="D80">
        <f t="shared" si="10"/>
        <v>97</v>
      </c>
      <c r="E80" t="str">
        <f t="shared" si="11"/>
        <v xml:space="preserve">Temperature control valve on cooling medium return from 1st stage discharge cooler. </v>
      </c>
    </row>
    <row r="81" spans="1:5">
      <c r="A81" t="s">
        <v>71</v>
      </c>
      <c r="B81">
        <f t="shared" si="8"/>
        <v>9</v>
      </c>
      <c r="C81" t="str">
        <f t="shared" si="9"/>
        <v>104-5010</v>
      </c>
      <c r="D81">
        <f t="shared" si="10"/>
        <v>43</v>
      </c>
      <c r="E81" t="str">
        <f t="shared" si="11"/>
        <v>Cooling medium return header valve</v>
      </c>
    </row>
    <row r="82" spans="1:5">
      <c r="A82" t="s">
        <v>72</v>
      </c>
      <c r="B82">
        <f t="shared" si="8"/>
        <v>9</v>
      </c>
      <c r="C82" t="str">
        <f t="shared" si="9"/>
        <v>104-5004</v>
      </c>
      <c r="D82">
        <f t="shared" si="10"/>
        <v>37</v>
      </c>
      <c r="E82" t="str">
        <f t="shared" si="11"/>
        <v>071-PSV-1028 up stream valve</v>
      </c>
    </row>
    <row r="83" spans="1:5">
      <c r="A83" t="s">
        <v>73</v>
      </c>
      <c r="B83">
        <f t="shared" si="8"/>
        <v>9</v>
      </c>
      <c r="C83" t="str">
        <f t="shared" si="9"/>
        <v>071-5030</v>
      </c>
      <c r="D83">
        <f t="shared" si="10"/>
        <v>37</v>
      </c>
      <c r="E83" t="str">
        <f t="shared" si="11"/>
        <v>071-PSV-1009 up stream valve</v>
      </c>
    </row>
    <row r="84" spans="1:5">
      <c r="A84" t="s">
        <v>74</v>
      </c>
      <c r="B84">
        <f t="shared" si="8"/>
        <v>9</v>
      </c>
      <c r="C84" t="str">
        <f t="shared" si="9"/>
        <v>080-5033</v>
      </c>
      <c r="D84">
        <f t="shared" si="10"/>
        <v>39</v>
      </c>
      <c r="E84" t="str">
        <f t="shared" si="11"/>
        <v>071-PSV-1009 down stream valve</v>
      </c>
    </row>
    <row r="85" spans="1:5">
      <c r="A85" t="s">
        <v>75</v>
      </c>
      <c r="B85">
        <f t="shared" si="8"/>
        <v>13</v>
      </c>
      <c r="C85" t="str">
        <f t="shared" si="9"/>
        <v>071-FCV-1022</v>
      </c>
      <c r="D85">
        <f t="shared" si="10"/>
        <v>80</v>
      </c>
      <c r="E85" t="str">
        <f t="shared" si="11"/>
        <v>2nd stage discharge recycle flow control valve (anti-surge control)</v>
      </c>
    </row>
    <row r="86" spans="1:5">
      <c r="B86" t="e">
        <f t="shared" si="8"/>
        <v>#VALUE!</v>
      </c>
      <c r="C86" t="e">
        <f t="shared" si="9"/>
        <v>#VALUE!</v>
      </c>
      <c r="D86">
        <f t="shared" si="10"/>
        <v>0</v>
      </c>
      <c r="E86" t="e">
        <f t="shared" si="11"/>
        <v>#VALUE!</v>
      </c>
    </row>
    <row r="87" spans="1:5">
      <c r="A87" t="s">
        <v>76</v>
      </c>
      <c r="B87">
        <f t="shared" si="8"/>
        <v>13</v>
      </c>
      <c r="C87" t="str">
        <f t="shared" si="9"/>
        <v>071-PCV-1092</v>
      </c>
      <c r="D87">
        <f t="shared" si="10"/>
        <v>79</v>
      </c>
      <c r="E87" t="str">
        <f t="shared" si="11"/>
        <v xml:space="preserve">2nd stage discharge recycle flow control valve (capacity control) </v>
      </c>
    </row>
    <row r="88" spans="1:5">
      <c r="A88" t="s">
        <v>77</v>
      </c>
      <c r="B88">
        <f t="shared" si="8"/>
        <v>13</v>
      </c>
      <c r="C88" t="str">
        <f t="shared" si="9"/>
        <v>071-SDV-1028</v>
      </c>
      <c r="D88">
        <f t="shared" si="10"/>
        <v>70</v>
      </c>
      <c r="E88" t="str">
        <f t="shared" si="11"/>
        <v xml:space="preserve">2nd stage suction scrubber MBF-2390 level shutdown valve </v>
      </c>
    </row>
    <row r="89" spans="1:5">
      <c r="A89" t="s">
        <v>78</v>
      </c>
      <c r="B89">
        <f t="shared" si="8"/>
        <v>13</v>
      </c>
      <c r="C89" t="str">
        <f t="shared" si="9"/>
        <v>071-LCV-1010</v>
      </c>
      <c r="D89">
        <f t="shared" si="10"/>
        <v>69</v>
      </c>
      <c r="E89" t="str">
        <f t="shared" si="11"/>
        <v xml:space="preserve">2nd stage suction scrubber MBF-2390 level control valve </v>
      </c>
    </row>
    <row r="90" spans="1:5">
      <c r="A90" t="s">
        <v>79</v>
      </c>
      <c r="B90">
        <f t="shared" si="8"/>
        <v>9</v>
      </c>
      <c r="C90" t="str">
        <f t="shared" si="9"/>
        <v>071-5028</v>
      </c>
      <c r="D90">
        <f t="shared" si="10"/>
        <v>38</v>
      </c>
      <c r="E90" t="str">
        <f t="shared" si="11"/>
        <v>071-LCV-1010 downstream valve</v>
      </c>
    </row>
    <row r="91" spans="1:5">
      <c r="A91" t="s">
        <v>80</v>
      </c>
      <c r="B91">
        <f t="shared" si="8"/>
        <v>9</v>
      </c>
      <c r="C91" t="str">
        <f t="shared" si="9"/>
        <v>084-5016</v>
      </c>
      <c r="D91">
        <f t="shared" si="10"/>
        <v>64</v>
      </c>
      <c r="E91" t="str">
        <f t="shared" si="11"/>
        <v xml:space="preserve">2nd stage suction scrubber MBF-2390 closed drain valve </v>
      </c>
    </row>
    <row r="92" spans="1:5">
      <c r="A92" t="s">
        <v>81</v>
      </c>
      <c r="B92">
        <f t="shared" si="8"/>
        <v>9</v>
      </c>
      <c r="C92" t="str">
        <f t="shared" si="9"/>
        <v>084-5018</v>
      </c>
      <c r="D92">
        <f t="shared" si="10"/>
        <v>71</v>
      </c>
      <c r="E92" t="str">
        <f t="shared" si="11"/>
        <v xml:space="preserve">2nd stage suction scrubber MBF-2390 closed drain header valve </v>
      </c>
    </row>
    <row r="93" spans="1:5">
      <c r="A93" t="s">
        <v>82</v>
      </c>
      <c r="B93">
        <f t="shared" si="8"/>
        <v>9</v>
      </c>
      <c r="C93" t="str">
        <f t="shared" si="9"/>
        <v>071-5043</v>
      </c>
      <c r="D93">
        <f t="shared" si="10"/>
        <v>37</v>
      </c>
      <c r="E93" t="str">
        <f t="shared" si="11"/>
        <v>071-PSV-1010 up stream valve</v>
      </c>
    </row>
    <row r="94" spans="1:5">
      <c r="A94" t="s">
        <v>83</v>
      </c>
      <c r="B94">
        <f t="shared" si="8"/>
        <v>9</v>
      </c>
      <c r="C94" t="str">
        <f t="shared" si="9"/>
        <v>071-5046</v>
      </c>
      <c r="D94">
        <f t="shared" si="10"/>
        <v>39</v>
      </c>
      <c r="E94" t="str">
        <f t="shared" si="11"/>
        <v>071-PSV-1010 down stream valve</v>
      </c>
    </row>
    <row r="95" spans="1:5">
      <c r="A95" t="s">
        <v>84</v>
      </c>
      <c r="B95">
        <f t="shared" si="8"/>
        <v>9</v>
      </c>
      <c r="C95" t="str">
        <f t="shared" si="9"/>
        <v>104-5061</v>
      </c>
      <c r="D95">
        <f t="shared" si="10"/>
        <v>49</v>
      </c>
      <c r="E95" t="str">
        <f t="shared" si="11"/>
        <v xml:space="preserve">Cooling medium supply to HGB-2360 valve </v>
      </c>
    </row>
    <row r="96" spans="1:5">
      <c r="A96" t="s">
        <v>85</v>
      </c>
      <c r="B96">
        <f t="shared" si="8"/>
        <v>13</v>
      </c>
      <c r="C96" t="str">
        <f t="shared" si="9"/>
        <v>071-TCV-1034</v>
      </c>
      <c r="D96">
        <f t="shared" si="10"/>
        <v>95</v>
      </c>
      <c r="E96" t="str">
        <f t="shared" si="11"/>
        <v>Temperature control valve on cooling medium return from 2nd stage discharge cooler</v>
      </c>
    </row>
    <row r="97" spans="1:5">
      <c r="A97" t="s">
        <v>86</v>
      </c>
      <c r="B97">
        <f t="shared" ref="B97:B128" si="12">SEARCH(" ",A97)</f>
        <v>9</v>
      </c>
      <c r="C97" t="str">
        <f t="shared" ref="C97:C128" si="13">LEFT(A97,B97-1)</f>
        <v>104-5073</v>
      </c>
      <c r="D97">
        <f t="shared" ref="D97:D128" si="14">LEN(A97)</f>
        <v>43</v>
      </c>
      <c r="E97" t="str">
        <f t="shared" ref="E97:E128" si="15">RIGHT(A97,D97-B97)</f>
        <v>Cooling medium return header valve</v>
      </c>
    </row>
    <row r="98" spans="1:5">
      <c r="A98" t="s">
        <v>87</v>
      </c>
      <c r="B98">
        <f t="shared" si="12"/>
        <v>13</v>
      </c>
      <c r="C98" t="str">
        <f t="shared" si="13"/>
        <v>071-BDV-1031</v>
      </c>
      <c r="D98">
        <f t="shared" si="14"/>
        <v>48</v>
      </c>
      <c r="E98" t="str">
        <f t="shared" si="15"/>
        <v xml:space="preserve">2nd stage discharge blowdown valve </v>
      </c>
    </row>
    <row r="99" spans="1:5">
      <c r="A99" t="s">
        <v>88</v>
      </c>
      <c r="B99">
        <f t="shared" si="12"/>
        <v>9</v>
      </c>
      <c r="C99" t="str">
        <f t="shared" si="13"/>
        <v>071-5075</v>
      </c>
      <c r="D99">
        <f t="shared" si="14"/>
        <v>38</v>
      </c>
      <c r="E99" t="str">
        <f t="shared" si="15"/>
        <v>071-BDV-1031 downstream valve</v>
      </c>
    </row>
    <row r="100" spans="1:5">
      <c r="A100" t="s">
        <v>89</v>
      </c>
      <c r="B100">
        <f t="shared" si="12"/>
        <v>12</v>
      </c>
      <c r="C100" t="str">
        <f t="shared" si="13"/>
        <v>071-5076/77</v>
      </c>
      <c r="D100">
        <f t="shared" si="14"/>
        <v>39</v>
      </c>
      <c r="E100" t="str">
        <f t="shared" si="15"/>
        <v>071-BDV-1031 by-pass valves</v>
      </c>
    </row>
    <row r="101" spans="1:5">
      <c r="A101" t="s">
        <v>90</v>
      </c>
      <c r="B101">
        <f t="shared" si="12"/>
        <v>9</v>
      </c>
      <c r="C101" t="str">
        <f t="shared" si="13"/>
        <v>104-5067</v>
      </c>
      <c r="D101">
        <f t="shared" si="14"/>
        <v>37</v>
      </c>
      <c r="E101" t="str">
        <f t="shared" si="15"/>
        <v>071-PSV-1029 up stream valve</v>
      </c>
    </row>
    <row r="102" spans="1:5">
      <c r="A102" t="s">
        <v>91</v>
      </c>
      <c r="B102">
        <f t="shared" si="12"/>
        <v>13</v>
      </c>
      <c r="C102" t="str">
        <f t="shared" si="13"/>
        <v>071-SDV-1029</v>
      </c>
      <c r="D102">
        <f t="shared" si="14"/>
        <v>55</v>
      </c>
      <c r="E102" t="str">
        <f t="shared" si="15"/>
        <v xml:space="preserve">2nd stage discharge outlet shutdown valve </v>
      </c>
    </row>
    <row r="103" spans="1:5">
      <c r="A103" t="s">
        <v>92</v>
      </c>
      <c r="B103">
        <f t="shared" si="12"/>
        <v>13</v>
      </c>
      <c r="C103" t="str">
        <f t="shared" si="13"/>
        <v>071-SDV-1030</v>
      </c>
      <c r="D103">
        <f t="shared" si="14"/>
        <v>76</v>
      </c>
      <c r="E103" t="str">
        <f t="shared" si="15"/>
        <v>2nd stage discharge outlet pressurization bypass shutdown valve</v>
      </c>
    </row>
    <row r="104" spans="1:5">
      <c r="A104" t="s">
        <v>93</v>
      </c>
      <c r="B104">
        <f t="shared" si="12"/>
        <v>9</v>
      </c>
      <c r="C104" t="str">
        <f t="shared" si="13"/>
        <v>071-5060</v>
      </c>
      <c r="D104">
        <f t="shared" si="14"/>
        <v>42</v>
      </c>
      <c r="E104" t="str">
        <f t="shared" si="15"/>
        <v xml:space="preserve">2nd stage discharge outlet valve </v>
      </c>
    </row>
    <row r="105" spans="1:5">
      <c r="A105" t="s">
        <v>94</v>
      </c>
      <c r="B105">
        <f t="shared" si="12"/>
        <v>9</v>
      </c>
      <c r="C105" t="str">
        <f t="shared" si="13"/>
        <v>071-5078</v>
      </c>
      <c r="D105">
        <f t="shared" si="14"/>
        <v>53</v>
      </c>
      <c r="E105" t="str">
        <f t="shared" si="15"/>
        <v>Main compressor 3rd stage inlet manual valve</v>
      </c>
    </row>
    <row r="106" spans="1:5">
      <c r="A106" t="s">
        <v>95</v>
      </c>
      <c r="B106">
        <f t="shared" si="12"/>
        <v>13</v>
      </c>
      <c r="C106" t="str">
        <f t="shared" si="13"/>
        <v>071-SDV-1032</v>
      </c>
      <c r="D106">
        <f t="shared" si="14"/>
        <v>60</v>
      </c>
      <c r="E106" t="str">
        <f t="shared" si="15"/>
        <v xml:space="preserve">Main compressor 3rd stage inlet shutdown valve </v>
      </c>
    </row>
    <row r="107" spans="1:5">
      <c r="A107" t="s">
        <v>96</v>
      </c>
      <c r="B107">
        <f t="shared" si="12"/>
        <v>13</v>
      </c>
      <c r="C107" t="str">
        <f t="shared" si="13"/>
        <v>071-SDV-1033</v>
      </c>
      <c r="D107">
        <f t="shared" si="14"/>
        <v>82</v>
      </c>
      <c r="E107" t="str">
        <f t="shared" si="15"/>
        <v xml:space="preserve">Main compressor 3rd stage inlet pressurization bypass shutdown valve </v>
      </c>
    </row>
    <row r="108" spans="1:5">
      <c r="A108" t="s">
        <v>97</v>
      </c>
      <c r="B108">
        <f t="shared" si="12"/>
        <v>13</v>
      </c>
      <c r="C108" t="str">
        <f t="shared" si="13"/>
        <v>071-PCV-1087</v>
      </c>
      <c r="D108">
        <f t="shared" si="14"/>
        <v>67</v>
      </c>
      <c r="E108" t="str">
        <f t="shared" si="15"/>
        <v>Main compressor 3rd stage inlet pressure control valve</v>
      </c>
    </row>
    <row r="109" spans="1:5">
      <c r="B109" t="e">
        <f t="shared" si="12"/>
        <v>#VALUE!</v>
      </c>
      <c r="C109" t="e">
        <f t="shared" si="13"/>
        <v>#VALUE!</v>
      </c>
      <c r="D109">
        <f t="shared" si="14"/>
        <v>0</v>
      </c>
      <c r="E109" t="e">
        <f t="shared" si="15"/>
        <v>#VALUE!</v>
      </c>
    </row>
    <row r="110" spans="1:5">
      <c r="A110" t="s">
        <v>98</v>
      </c>
      <c r="B110">
        <f t="shared" si="12"/>
        <v>9</v>
      </c>
      <c r="C110" t="str">
        <f t="shared" si="13"/>
        <v>071-5103</v>
      </c>
      <c r="D110">
        <f t="shared" si="14"/>
        <v>38</v>
      </c>
      <c r="E110" t="str">
        <f t="shared" si="15"/>
        <v xml:space="preserve">071-PSV-1011 up stream valve </v>
      </c>
    </row>
    <row r="111" spans="1:5">
      <c r="A111" t="s">
        <v>99</v>
      </c>
      <c r="B111">
        <f t="shared" si="12"/>
        <v>9</v>
      </c>
      <c r="C111" t="str">
        <f t="shared" si="13"/>
        <v>071-5106</v>
      </c>
      <c r="D111">
        <f t="shared" si="14"/>
        <v>40</v>
      </c>
      <c r="E111" t="str">
        <f t="shared" si="15"/>
        <v xml:space="preserve">071-PSV-1011 down stream valve </v>
      </c>
    </row>
    <row r="112" spans="1:5">
      <c r="A112" t="s">
        <v>100</v>
      </c>
      <c r="B112">
        <f t="shared" si="12"/>
        <v>13</v>
      </c>
      <c r="C112" t="str">
        <f t="shared" si="13"/>
        <v>071-SDV-1034</v>
      </c>
      <c r="D112">
        <f t="shared" si="14"/>
        <v>70</v>
      </c>
      <c r="E112" t="str">
        <f t="shared" si="15"/>
        <v xml:space="preserve">3rd stage suction scrubber MBF-2395 level shutdown valve </v>
      </c>
    </row>
    <row r="113" spans="1:5">
      <c r="A113" t="s">
        <v>101</v>
      </c>
      <c r="B113">
        <f t="shared" si="12"/>
        <v>13</v>
      </c>
      <c r="C113" t="str">
        <f t="shared" si="13"/>
        <v>071-LCV-1012</v>
      </c>
      <c r="D113">
        <f t="shared" si="14"/>
        <v>69</v>
      </c>
      <c r="E113" t="str">
        <f t="shared" si="15"/>
        <v xml:space="preserve">3rd stage suction scrubber MBF-2395 level control valve </v>
      </c>
    </row>
    <row r="114" spans="1:5">
      <c r="A114" t="s">
        <v>102</v>
      </c>
      <c r="B114">
        <f t="shared" si="12"/>
        <v>9</v>
      </c>
      <c r="C114" t="str">
        <f t="shared" si="13"/>
        <v>071-5101</v>
      </c>
      <c r="D114">
        <f t="shared" si="14"/>
        <v>38</v>
      </c>
      <c r="E114" t="str">
        <f t="shared" si="15"/>
        <v>071-LCV-1012 downstream valve</v>
      </c>
    </row>
    <row r="115" spans="1:5">
      <c r="A115" t="s">
        <v>103</v>
      </c>
      <c r="B115">
        <f t="shared" si="12"/>
        <v>9</v>
      </c>
      <c r="C115" t="str">
        <f t="shared" si="13"/>
        <v>084-5089</v>
      </c>
      <c r="D115">
        <f t="shared" si="14"/>
        <v>64</v>
      </c>
      <c r="E115" t="str">
        <f t="shared" si="15"/>
        <v xml:space="preserve">3rd stage suction scrubber MBF-2395 closed drain valve </v>
      </c>
    </row>
    <row r="116" spans="1:5">
      <c r="A116" t="s">
        <v>104</v>
      </c>
      <c r="B116">
        <f t="shared" si="12"/>
        <v>9</v>
      </c>
      <c r="C116" t="str">
        <f t="shared" si="13"/>
        <v>084-5091</v>
      </c>
      <c r="D116">
        <f t="shared" si="14"/>
        <v>71</v>
      </c>
      <c r="E116" t="str">
        <f t="shared" si="15"/>
        <v xml:space="preserve">3rd stage suction scrubber MBF-2395 closed drain header valve </v>
      </c>
    </row>
    <row r="117" spans="1:5">
      <c r="A117" t="s">
        <v>105</v>
      </c>
      <c r="B117">
        <f t="shared" si="12"/>
        <v>9</v>
      </c>
      <c r="C117" t="str">
        <f t="shared" si="13"/>
        <v>071-5115</v>
      </c>
      <c r="D117">
        <f t="shared" si="14"/>
        <v>72</v>
      </c>
      <c r="E117" t="str">
        <f t="shared" si="15"/>
        <v xml:space="preserve">071-SP-2411 3rd stage suction sample upstream isolation device </v>
      </c>
    </row>
    <row r="118" spans="1:5">
      <c r="A118" t="s">
        <v>106</v>
      </c>
      <c r="B118">
        <f t="shared" si="12"/>
        <v>13</v>
      </c>
      <c r="C118" t="str">
        <f t="shared" si="13"/>
        <v>071-FCV-1024</v>
      </c>
      <c r="D118">
        <f t="shared" si="14"/>
        <v>82</v>
      </c>
      <c r="E118" t="str">
        <f t="shared" si="15"/>
        <v xml:space="preserve">3rd stage discharge recycle flow control valve (anti-surge control)  </v>
      </c>
    </row>
    <row r="119" spans="1:5">
      <c r="A119" t="s">
        <v>107</v>
      </c>
      <c r="B119">
        <f t="shared" si="12"/>
        <v>13</v>
      </c>
      <c r="C119" t="str">
        <f t="shared" si="13"/>
        <v>071-PCV-1084</v>
      </c>
      <c r="D119">
        <f t="shared" si="14"/>
        <v>79</v>
      </c>
      <c r="E119" t="str">
        <f t="shared" si="15"/>
        <v xml:space="preserve">3rd stage discharge recycle flow control valve (capacity control) </v>
      </c>
    </row>
    <row r="120" spans="1:5">
      <c r="A120" t="s">
        <v>108</v>
      </c>
      <c r="B120">
        <f t="shared" si="12"/>
        <v>9</v>
      </c>
      <c r="C120" t="str">
        <f t="shared" si="13"/>
        <v>071-5118</v>
      </c>
      <c r="D120">
        <f t="shared" si="14"/>
        <v>47</v>
      </c>
      <c r="E120" t="str">
        <f t="shared" si="15"/>
        <v>071-PSV-1012 up stream isolation valve</v>
      </c>
    </row>
    <row r="121" spans="1:5">
      <c r="A121" t="s">
        <v>109</v>
      </c>
      <c r="B121">
        <f t="shared" si="12"/>
        <v>9</v>
      </c>
      <c r="C121" t="str">
        <f t="shared" si="13"/>
        <v>080-5121</v>
      </c>
      <c r="D121">
        <f t="shared" si="14"/>
        <v>50</v>
      </c>
      <c r="E121" t="str">
        <f t="shared" si="15"/>
        <v xml:space="preserve">071-PSV-1012 down stream isolation valve </v>
      </c>
    </row>
    <row r="122" spans="1:5">
      <c r="A122" t="s">
        <v>110</v>
      </c>
      <c r="B122">
        <f t="shared" si="12"/>
        <v>9</v>
      </c>
      <c r="C122" t="str">
        <f t="shared" si="13"/>
        <v>104-5139</v>
      </c>
      <c r="D122">
        <f t="shared" si="14"/>
        <v>59</v>
      </c>
      <c r="E122" t="str">
        <f t="shared" si="15"/>
        <v xml:space="preserve">Cooling medium supply to HGB-2365 isolation valve </v>
      </c>
    </row>
    <row r="123" spans="1:5">
      <c r="A123" t="s">
        <v>111</v>
      </c>
      <c r="B123">
        <f t="shared" si="12"/>
        <v>13</v>
      </c>
      <c r="C123" t="str">
        <f t="shared" si="13"/>
        <v>071-TCV-1040</v>
      </c>
      <c r="D123">
        <f t="shared" si="14"/>
        <v>95</v>
      </c>
      <c r="E123" t="str">
        <f t="shared" si="15"/>
        <v>Temperature control valve on cooling medium return from 3rd stage discharge cooler</v>
      </c>
    </row>
    <row r="124" spans="1:5">
      <c r="A124" t="s">
        <v>112</v>
      </c>
      <c r="B124">
        <f t="shared" si="12"/>
        <v>9</v>
      </c>
      <c r="C124" t="str">
        <f t="shared" si="13"/>
        <v>104-5151</v>
      </c>
      <c r="D124">
        <f t="shared" si="14"/>
        <v>54</v>
      </c>
      <c r="E124" t="str">
        <f t="shared" si="15"/>
        <v xml:space="preserve">Cooling medium return header isolation valve </v>
      </c>
    </row>
    <row r="125" spans="1:5">
      <c r="A125" t="s">
        <v>113</v>
      </c>
      <c r="B125">
        <f t="shared" si="12"/>
        <v>13</v>
      </c>
      <c r="C125" t="str">
        <f t="shared" si="13"/>
        <v>071-BDV-1038</v>
      </c>
      <c r="D125">
        <f t="shared" si="14"/>
        <v>47</v>
      </c>
      <c r="E125" t="str">
        <f t="shared" si="15"/>
        <v>3rd stage discharge blowdown valve</v>
      </c>
    </row>
    <row r="126" spans="1:5">
      <c r="A126" t="s">
        <v>114</v>
      </c>
      <c r="B126">
        <f t="shared" si="12"/>
        <v>9</v>
      </c>
      <c r="C126" t="str">
        <f t="shared" si="13"/>
        <v>071-5136</v>
      </c>
      <c r="D126">
        <f t="shared" si="14"/>
        <v>49</v>
      </c>
      <c r="E126" t="str">
        <f t="shared" si="15"/>
        <v xml:space="preserve">071-BDV-1038 downstream isolation valve </v>
      </c>
    </row>
    <row r="127" spans="1:5">
      <c r="A127" t="s">
        <v>115</v>
      </c>
      <c r="B127">
        <f t="shared" si="12"/>
        <v>12</v>
      </c>
      <c r="C127" t="str">
        <f t="shared" si="13"/>
        <v>071-5137/38</v>
      </c>
      <c r="D127">
        <f t="shared" si="14"/>
        <v>39</v>
      </c>
      <c r="E127" t="str">
        <f t="shared" si="15"/>
        <v>071-BDV-1038 by-pass valves</v>
      </c>
    </row>
    <row r="128" spans="1:5">
      <c r="A128" t="s">
        <v>116</v>
      </c>
      <c r="B128">
        <f t="shared" si="12"/>
        <v>13</v>
      </c>
      <c r="C128" t="str">
        <f t="shared" si="13"/>
        <v>071-SDV-1035</v>
      </c>
      <c r="D128">
        <f t="shared" si="14"/>
        <v>66</v>
      </c>
      <c r="E128" t="str">
        <f t="shared" si="15"/>
        <v xml:space="preserve">3rd stage discharge outlet shutdown isolation valve  </v>
      </c>
    </row>
    <row r="129" spans="1:5">
      <c r="A129" t="s">
        <v>117</v>
      </c>
      <c r="B129">
        <f t="shared" ref="B129:B160" si="16">SEARCH(" ",A129)</f>
        <v>13</v>
      </c>
      <c r="C129" t="str">
        <f t="shared" ref="C129:C160" si="17">LEFT(A129,B129-1)</f>
        <v>071-SDV-1036</v>
      </c>
      <c r="D129">
        <f t="shared" ref="D129:D143" si="18">LEN(A129)</f>
        <v>77</v>
      </c>
      <c r="E129" t="str">
        <f t="shared" ref="E129:E160" si="19">RIGHT(A129,D129-B129)</f>
        <v xml:space="preserve">3rd stage discharge outlet pressurization bypass shutdown valve </v>
      </c>
    </row>
    <row r="130" spans="1:5">
      <c r="A130" t="s">
        <v>118</v>
      </c>
      <c r="B130">
        <f t="shared" si="16"/>
        <v>9</v>
      </c>
      <c r="C130" t="str">
        <f t="shared" si="17"/>
        <v>071-5134</v>
      </c>
      <c r="D130">
        <f t="shared" si="18"/>
        <v>51</v>
      </c>
      <c r="E130" t="str">
        <f t="shared" si="19"/>
        <v>3rd stage discharge outlet isolation valve</v>
      </c>
    </row>
    <row r="131" spans="1:5">
      <c r="B131" t="e">
        <f t="shared" si="16"/>
        <v>#VALUE!</v>
      </c>
      <c r="C131" t="e">
        <f t="shared" si="17"/>
        <v>#VALUE!</v>
      </c>
      <c r="D131">
        <f t="shared" si="18"/>
        <v>0</v>
      </c>
      <c r="E131" t="e">
        <f t="shared" si="19"/>
        <v>#VALUE!</v>
      </c>
    </row>
    <row r="132" spans="1:5">
      <c r="A132" t="s">
        <v>119</v>
      </c>
      <c r="B132">
        <f t="shared" si="16"/>
        <v>9</v>
      </c>
      <c r="C132" t="str">
        <f t="shared" si="17"/>
        <v>104-5145</v>
      </c>
      <c r="D132">
        <f t="shared" si="18"/>
        <v>47</v>
      </c>
      <c r="E132" t="str">
        <f t="shared" si="19"/>
        <v>071-PSV-1030 up stream isolation valve</v>
      </c>
    </row>
    <row r="133" spans="1:5">
      <c r="A133" t="s">
        <v>120</v>
      </c>
      <c r="B133">
        <f t="shared" si="16"/>
        <v>9</v>
      </c>
      <c r="C133" t="str">
        <f t="shared" si="17"/>
        <v>071-5135</v>
      </c>
      <c r="D133">
        <f t="shared" si="18"/>
        <v>49</v>
      </c>
      <c r="E133" t="str">
        <f t="shared" si="19"/>
        <v>Ethanol injection point isolation valves</v>
      </c>
    </row>
    <row r="134" spans="1:5">
      <c r="A134" t="s">
        <v>121</v>
      </c>
      <c r="B134">
        <f t="shared" si="16"/>
        <v>9</v>
      </c>
      <c r="C134" t="str">
        <f t="shared" si="17"/>
        <v>104-5155</v>
      </c>
      <c r="D134">
        <f t="shared" si="18"/>
        <v>58</v>
      </c>
      <c r="E134" t="str">
        <f t="shared" si="19"/>
        <v xml:space="preserve">Cooling medium supply to CM-2341 isolation valve </v>
      </c>
    </row>
    <row r="135" spans="1:5">
      <c r="A135" t="s">
        <v>122</v>
      </c>
      <c r="B135">
        <f t="shared" si="16"/>
        <v>9</v>
      </c>
      <c r="C135" t="str">
        <f t="shared" si="17"/>
        <v>104-5160</v>
      </c>
      <c r="D135">
        <f t="shared" si="18"/>
        <v>61</v>
      </c>
      <c r="E135" t="str">
        <f t="shared" si="19"/>
        <v xml:space="preserve">Cooling medium return from CM-2341 isolation valve  </v>
      </c>
    </row>
    <row r="136" spans="1:5">
      <c r="A136" t="s">
        <v>123</v>
      </c>
      <c r="B136">
        <f t="shared" si="16"/>
        <v>9</v>
      </c>
      <c r="C136" t="str">
        <f t="shared" si="17"/>
        <v>104-5165</v>
      </c>
      <c r="D136">
        <f t="shared" si="18"/>
        <v>59</v>
      </c>
      <c r="E136" t="str">
        <f t="shared" si="19"/>
        <v xml:space="preserve">Cooling medium supply to ZZZ-2341 isolation valve </v>
      </c>
    </row>
    <row r="137" spans="1:5">
      <c r="A137" t="s">
        <v>124</v>
      </c>
      <c r="B137">
        <f t="shared" si="16"/>
        <v>9</v>
      </c>
      <c r="C137" t="str">
        <f t="shared" si="17"/>
        <v>104-5168</v>
      </c>
      <c r="D137">
        <f t="shared" si="18"/>
        <v>61</v>
      </c>
      <c r="E137" t="str">
        <f t="shared" si="19"/>
        <v xml:space="preserve">Cooling medium return from ZZZ-2341 isolation valve </v>
      </c>
    </row>
    <row r="138" spans="1:5">
      <c r="A138" t="s">
        <v>125</v>
      </c>
      <c r="B138">
        <f t="shared" si="16"/>
        <v>9</v>
      </c>
      <c r="C138" t="str">
        <f t="shared" si="17"/>
        <v>084-5177</v>
      </c>
      <c r="D138">
        <f t="shared" si="18"/>
        <v>56</v>
      </c>
      <c r="E138" t="str">
        <f t="shared" si="19"/>
        <v>CAE-2340/45 closed drain header isolation valve</v>
      </c>
    </row>
    <row r="139" spans="1:5">
      <c r="A139" t="s">
        <v>126</v>
      </c>
      <c r="B139">
        <f t="shared" si="16"/>
        <v>9</v>
      </c>
      <c r="C139" t="str">
        <f t="shared" si="17"/>
        <v>104-5178</v>
      </c>
      <c r="D139">
        <f t="shared" si="18"/>
        <v>58</v>
      </c>
      <c r="E139" t="str">
        <f t="shared" si="19"/>
        <v xml:space="preserve">Cooling medium supply to CM-2351 isolation valve </v>
      </c>
    </row>
    <row r="140" spans="1:5">
      <c r="A140" t="s">
        <v>127</v>
      </c>
      <c r="B140">
        <f t="shared" si="16"/>
        <v>9</v>
      </c>
      <c r="C140" t="str">
        <f t="shared" si="17"/>
        <v>104-5183</v>
      </c>
      <c r="D140">
        <f t="shared" si="18"/>
        <v>60</v>
      </c>
      <c r="E140" t="str">
        <f t="shared" si="19"/>
        <v xml:space="preserve">Cooling medium return from CM-2351 isolation valve </v>
      </c>
    </row>
    <row r="141" spans="1:5">
      <c r="A141" t="s">
        <v>128</v>
      </c>
      <c r="B141">
        <f t="shared" si="16"/>
        <v>9</v>
      </c>
      <c r="C141" t="str">
        <f t="shared" si="17"/>
        <v>104-5184</v>
      </c>
      <c r="D141">
        <f t="shared" si="18"/>
        <v>60</v>
      </c>
      <c r="E141" t="str">
        <f t="shared" si="19"/>
        <v xml:space="preserve">Cooling medium supply to ZZZ-2351 isolation valve  </v>
      </c>
    </row>
    <row r="142" spans="1:5">
      <c r="A142" t="s">
        <v>129</v>
      </c>
      <c r="B142">
        <f t="shared" si="16"/>
        <v>9</v>
      </c>
      <c r="C142" t="str">
        <f t="shared" si="17"/>
        <v>104-5187</v>
      </c>
      <c r="D142">
        <f t="shared" si="18"/>
        <v>61</v>
      </c>
      <c r="E142" t="str">
        <f t="shared" si="19"/>
        <v xml:space="preserve">Cooling medium return from ZZZ-1351 isolation valve </v>
      </c>
    </row>
    <row r="143" spans="1:5">
      <c r="A143" t="s">
        <v>130</v>
      </c>
      <c r="B143">
        <f t="shared" si="16"/>
        <v>9</v>
      </c>
      <c r="C143" t="str">
        <f t="shared" si="17"/>
        <v>084-5195</v>
      </c>
      <c r="D143">
        <f t="shared" si="18"/>
        <v>53</v>
      </c>
      <c r="E143" t="str">
        <f t="shared" si="19"/>
        <v>CAE-2350 closed drain header isolation valve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49"/>
  <sheetViews>
    <sheetView showGridLines="0" tabSelected="1" topLeftCell="A43" zoomScaleNormal="100" workbookViewId="0">
      <selection activeCell="R45" sqref="R45"/>
    </sheetView>
  </sheetViews>
  <sheetFormatPr defaultColWidth="9.1796875" defaultRowHeight="12"/>
  <cols>
    <col min="1" max="1" width="1.26953125" style="15" customWidth="1"/>
    <col min="2" max="2" width="23" style="15" customWidth="1"/>
    <col min="3" max="3" width="14.453125" style="15" customWidth="1"/>
    <col min="4" max="4" width="18.453125" style="15" customWidth="1"/>
    <col min="5" max="5" width="23.453125" style="15" bestFit="1" customWidth="1"/>
    <col min="6" max="6" width="20.453125" style="15" customWidth="1"/>
    <col min="7" max="7" width="8.1796875" style="15" customWidth="1"/>
    <col min="8" max="9" width="8" style="15" customWidth="1"/>
    <col min="10" max="18" width="9.1796875" style="15" customWidth="1"/>
    <col min="19" max="16384" width="9.1796875" style="15"/>
  </cols>
  <sheetData>
    <row r="2" spans="1:10" ht="35.25" customHeight="1">
      <c r="B2" s="29" t="s">
        <v>131</v>
      </c>
      <c r="C2" s="30"/>
      <c r="D2" s="30"/>
      <c r="E2" s="30"/>
    </row>
    <row r="3" spans="1:10" ht="1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10">
      <c r="B4" s="33"/>
      <c r="C4" s="30"/>
      <c r="D4" s="30"/>
      <c r="E4" s="30"/>
      <c r="F4" s="30"/>
      <c r="G4" s="30"/>
      <c r="H4" s="30"/>
      <c r="I4" s="30"/>
      <c r="J4" s="1"/>
    </row>
    <row r="5" spans="1:10" ht="15" customHeight="1">
      <c r="B5" s="4" t="s">
        <v>132</v>
      </c>
      <c r="C5" s="16" t="s">
        <v>133</v>
      </c>
      <c r="D5" s="17"/>
      <c r="E5" s="4" t="s">
        <v>134</v>
      </c>
      <c r="F5" s="27" t="s">
        <v>135</v>
      </c>
      <c r="G5" s="19"/>
      <c r="H5" s="19"/>
      <c r="I5" s="17"/>
    </row>
    <row r="6" spans="1:10" ht="15" customHeight="1">
      <c r="B6" s="4" t="s">
        <v>136</v>
      </c>
      <c r="C6" s="16" t="s">
        <v>133</v>
      </c>
      <c r="D6" s="17"/>
      <c r="E6" s="4" t="s">
        <v>137</v>
      </c>
      <c r="F6" s="27" t="s">
        <v>138</v>
      </c>
      <c r="G6" s="19"/>
      <c r="H6" s="19"/>
      <c r="I6" s="17"/>
    </row>
    <row r="7" spans="1:10" ht="15" customHeight="1">
      <c r="B7" s="4" t="s">
        <v>139</v>
      </c>
      <c r="C7" s="31" t="s">
        <v>140</v>
      </c>
      <c r="D7" s="17"/>
      <c r="E7" s="4" t="s">
        <v>141</v>
      </c>
      <c r="F7" s="27" t="s">
        <v>142</v>
      </c>
      <c r="G7" s="19"/>
      <c r="H7" s="19"/>
      <c r="I7" s="17"/>
    </row>
    <row r="9" spans="1:10" ht="15" customHeight="1"/>
    <row r="10" spans="1:10" ht="12.75" customHeight="1">
      <c r="B10" s="28" t="s">
        <v>143</v>
      </c>
      <c r="C10" s="19"/>
      <c r="D10" s="19"/>
      <c r="E10" s="19"/>
      <c r="F10" s="17"/>
      <c r="G10" s="3" t="s">
        <v>144</v>
      </c>
      <c r="H10" s="3" t="s">
        <v>145</v>
      </c>
      <c r="I10" s="3" t="s">
        <v>146</v>
      </c>
    </row>
    <row r="11" spans="1:10" ht="15" customHeight="1">
      <c r="B11" s="18" t="s">
        <v>147</v>
      </c>
      <c r="C11" s="19"/>
      <c r="D11" s="19"/>
      <c r="E11" s="19"/>
      <c r="F11" s="17"/>
      <c r="G11" s="11" t="s">
        <v>148</v>
      </c>
      <c r="H11" s="2"/>
      <c r="I11" s="2"/>
    </row>
    <row r="12" spans="1:10" ht="15" customHeight="1">
      <c r="B12" s="18" t="s">
        <v>149</v>
      </c>
      <c r="C12" s="19"/>
      <c r="D12" s="19"/>
      <c r="E12" s="19"/>
      <c r="F12" s="17"/>
      <c r="G12" s="11" t="s">
        <v>148</v>
      </c>
      <c r="H12" s="2"/>
      <c r="I12" s="2"/>
    </row>
    <row r="13" spans="1:10" ht="15" customHeight="1">
      <c r="B13" s="18" t="s">
        <v>150</v>
      </c>
      <c r="C13" s="19"/>
      <c r="D13" s="19"/>
      <c r="E13" s="19"/>
      <c r="F13" s="17"/>
      <c r="G13" s="11" t="s">
        <v>148</v>
      </c>
      <c r="H13" s="2"/>
      <c r="I13" s="2"/>
    </row>
    <row r="14" spans="1:10" ht="15" customHeight="1">
      <c r="B14" s="18" t="s">
        <v>151</v>
      </c>
      <c r="C14" s="19"/>
      <c r="D14" s="19"/>
      <c r="E14" s="19"/>
      <c r="F14" s="17"/>
      <c r="G14" s="11" t="s">
        <v>148</v>
      </c>
      <c r="H14" s="2"/>
      <c r="I14" s="2"/>
    </row>
    <row r="15" spans="1:10" ht="15" customHeight="1">
      <c r="B15" s="18" t="s">
        <v>152</v>
      </c>
      <c r="C15" s="19"/>
      <c r="D15" s="19"/>
      <c r="E15" s="19"/>
      <c r="F15" s="17"/>
      <c r="G15" s="11" t="s">
        <v>148</v>
      </c>
      <c r="H15" s="2"/>
      <c r="I15" s="2"/>
    </row>
    <row r="16" spans="1:10" ht="15" customHeight="1">
      <c r="B16" s="18" t="s">
        <v>153</v>
      </c>
      <c r="C16" s="19"/>
      <c r="D16" s="19"/>
      <c r="E16" s="19"/>
      <c r="F16" s="17"/>
      <c r="G16" s="11" t="s">
        <v>148</v>
      </c>
      <c r="H16" s="2"/>
      <c r="I16" s="2"/>
    </row>
    <row r="17" spans="2:9" ht="15" customHeight="1">
      <c r="B17" s="18" t="s">
        <v>154</v>
      </c>
      <c r="C17" s="19"/>
      <c r="D17" s="19"/>
      <c r="E17" s="19"/>
      <c r="F17" s="17"/>
      <c r="G17" s="11" t="s">
        <v>148</v>
      </c>
      <c r="H17" s="2"/>
      <c r="I17" s="2"/>
    </row>
    <row r="18" spans="2:9" ht="15" customHeight="1">
      <c r="B18" s="18" t="s">
        <v>155</v>
      </c>
      <c r="C18" s="19"/>
      <c r="D18" s="19"/>
      <c r="E18" s="19"/>
      <c r="F18" s="17"/>
      <c r="G18" s="11" t="s">
        <v>148</v>
      </c>
      <c r="H18" s="2"/>
      <c r="I18" s="2"/>
    </row>
    <row r="19" spans="2:9" ht="15" customHeight="1">
      <c r="B19" s="18" t="s">
        <v>156</v>
      </c>
      <c r="C19" s="19"/>
      <c r="D19" s="19"/>
      <c r="E19" s="19"/>
      <c r="F19" s="17"/>
      <c r="G19" s="11" t="s">
        <v>148</v>
      </c>
      <c r="H19" s="2"/>
      <c r="I19" s="2"/>
    </row>
    <row r="20" spans="2:9" ht="15" customHeight="1">
      <c r="B20" s="18" t="s">
        <v>157</v>
      </c>
      <c r="C20" s="19"/>
      <c r="D20" s="19"/>
      <c r="E20" s="19"/>
      <c r="F20" s="17"/>
      <c r="G20" s="11" t="s">
        <v>148</v>
      </c>
      <c r="H20" s="2"/>
      <c r="I20" s="2"/>
    </row>
    <row r="21" spans="2:9" ht="15" customHeight="1">
      <c r="B21" s="18" t="s">
        <v>158</v>
      </c>
      <c r="C21" s="19"/>
      <c r="D21" s="19"/>
      <c r="E21" s="19"/>
      <c r="F21" s="17"/>
      <c r="G21" s="11" t="s">
        <v>148</v>
      </c>
      <c r="H21" s="2"/>
      <c r="I21" s="2"/>
    </row>
    <row r="22" spans="2:9" ht="15" customHeight="1">
      <c r="B22" s="18" t="s">
        <v>159</v>
      </c>
      <c r="C22" s="19"/>
      <c r="D22" s="19"/>
      <c r="E22" s="19"/>
      <c r="F22" s="17"/>
      <c r="G22" s="11" t="s">
        <v>148</v>
      </c>
      <c r="H22" s="2"/>
      <c r="I22" s="2"/>
    </row>
    <row r="23" spans="2:9" ht="15" customHeight="1">
      <c r="B23" s="18" t="s">
        <v>160</v>
      </c>
      <c r="C23" s="19"/>
      <c r="D23" s="19"/>
      <c r="E23" s="19"/>
      <c r="F23" s="17"/>
      <c r="G23" s="11" t="s">
        <v>148</v>
      </c>
      <c r="H23" s="2"/>
      <c r="I23" s="2"/>
    </row>
    <row r="24" spans="2:9" ht="15" customHeight="1">
      <c r="B24" s="18" t="s">
        <v>161</v>
      </c>
      <c r="C24" s="19"/>
      <c r="D24" s="19"/>
      <c r="E24" s="19"/>
      <c r="F24" s="17"/>
      <c r="G24" s="11" t="s">
        <v>148</v>
      </c>
      <c r="H24" s="2"/>
      <c r="I24" s="2"/>
    </row>
    <row r="25" spans="2:9" ht="15" customHeight="1">
      <c r="B25" s="18" t="s">
        <v>162</v>
      </c>
      <c r="C25" s="19"/>
      <c r="D25" s="19"/>
      <c r="E25" s="19"/>
      <c r="F25" s="17"/>
      <c r="G25" s="11" t="s">
        <v>148</v>
      </c>
      <c r="H25" s="2"/>
      <c r="I25" s="2"/>
    </row>
    <row r="26" spans="2:9" ht="15" customHeight="1">
      <c r="B26" s="18" t="s">
        <v>163</v>
      </c>
      <c r="C26" s="19"/>
      <c r="D26" s="19"/>
      <c r="E26" s="19"/>
      <c r="F26" s="17"/>
      <c r="G26" s="11" t="s">
        <v>148</v>
      </c>
      <c r="H26" s="2"/>
      <c r="I26" s="2"/>
    </row>
    <row r="27" spans="2:9" ht="15" customHeight="1">
      <c r="B27" s="18" t="s">
        <v>164</v>
      </c>
      <c r="C27" s="19"/>
      <c r="D27" s="19"/>
      <c r="E27" s="19"/>
      <c r="F27" s="17"/>
      <c r="G27" s="11" t="s">
        <v>148</v>
      </c>
      <c r="H27" s="2"/>
      <c r="I27" s="2"/>
    </row>
    <row r="28" spans="2:9" ht="15" customHeight="1">
      <c r="B28" s="18" t="s">
        <v>165</v>
      </c>
      <c r="C28" s="19"/>
      <c r="D28" s="19"/>
      <c r="E28" s="19"/>
      <c r="F28" s="17"/>
      <c r="G28" s="11" t="s">
        <v>148</v>
      </c>
      <c r="H28" s="2"/>
      <c r="I28" s="2"/>
    </row>
    <row r="29" spans="2:9" ht="15" customHeight="1">
      <c r="B29" s="18" t="s">
        <v>166</v>
      </c>
      <c r="C29" s="19"/>
      <c r="D29" s="19"/>
      <c r="E29" s="19"/>
      <c r="F29" s="17"/>
      <c r="G29" s="11" t="s">
        <v>148</v>
      </c>
      <c r="H29" s="2"/>
      <c r="I29" s="2"/>
    </row>
    <row r="30" spans="2:9" ht="15" customHeight="1">
      <c r="B30" s="18" t="s">
        <v>167</v>
      </c>
      <c r="C30" s="19"/>
      <c r="D30" s="19"/>
      <c r="E30" s="19"/>
      <c r="F30" s="17"/>
      <c r="G30" s="11" t="s">
        <v>148</v>
      </c>
      <c r="H30" s="2"/>
      <c r="I30" s="2"/>
    </row>
    <row r="31" spans="2:9" ht="15" customHeight="1">
      <c r="B31" s="18" t="s">
        <v>168</v>
      </c>
      <c r="C31" s="19"/>
      <c r="D31" s="19"/>
      <c r="E31" s="19"/>
      <c r="F31" s="17"/>
      <c r="G31" s="11" t="s">
        <v>148</v>
      </c>
      <c r="H31" s="2"/>
      <c r="I31" s="2"/>
    </row>
    <row r="32" spans="2:9" ht="15" customHeight="1">
      <c r="B32" s="18" t="s">
        <v>169</v>
      </c>
      <c r="C32" s="19"/>
      <c r="D32" s="19"/>
      <c r="E32" s="19"/>
      <c r="F32" s="17"/>
      <c r="G32" s="11" t="s">
        <v>148</v>
      </c>
      <c r="H32" s="2"/>
      <c r="I32" s="2"/>
    </row>
    <row r="33" spans="2:9" ht="15" customHeight="1">
      <c r="B33" s="18" t="s">
        <v>170</v>
      </c>
      <c r="C33" s="19"/>
      <c r="D33" s="19"/>
      <c r="E33" s="19"/>
      <c r="F33" s="17"/>
      <c r="G33" s="11" t="s">
        <v>148</v>
      </c>
      <c r="H33" s="2"/>
      <c r="I33" s="2"/>
    </row>
    <row r="34" spans="2:9" ht="15" customHeight="1">
      <c r="B34" s="18" t="s">
        <v>171</v>
      </c>
      <c r="C34" s="19"/>
      <c r="D34" s="19"/>
      <c r="E34" s="19"/>
      <c r="F34" s="17"/>
      <c r="G34" s="11" t="s">
        <v>148</v>
      </c>
      <c r="H34" s="2"/>
      <c r="I34" s="2"/>
    </row>
    <row r="35" spans="2:9" ht="12.75" customHeight="1">
      <c r="B35" s="28" t="s">
        <v>172</v>
      </c>
      <c r="C35" s="19"/>
      <c r="D35" s="19"/>
      <c r="E35" s="19"/>
      <c r="F35" s="17"/>
      <c r="G35" s="3" t="s">
        <v>144</v>
      </c>
      <c r="H35" s="3" t="s">
        <v>145</v>
      </c>
      <c r="I35" s="3" t="s">
        <v>146</v>
      </c>
    </row>
    <row r="36" spans="2:9" ht="15" customHeight="1">
      <c r="B36" s="18" t="s">
        <v>173</v>
      </c>
      <c r="C36" s="19"/>
      <c r="D36" s="19"/>
      <c r="E36" s="19"/>
      <c r="F36" s="17"/>
      <c r="G36" s="11" t="s">
        <v>148</v>
      </c>
      <c r="H36" s="2"/>
      <c r="I36" s="2"/>
    </row>
    <row r="37" spans="2:9" ht="15" customHeight="1">
      <c r="B37" s="18" t="s">
        <v>174</v>
      </c>
      <c r="C37" s="19"/>
      <c r="D37" s="19"/>
      <c r="E37" s="19"/>
      <c r="F37" s="17"/>
      <c r="G37" s="11" t="s">
        <v>148</v>
      </c>
      <c r="H37" s="2"/>
      <c r="I37" s="2"/>
    </row>
    <row r="38" spans="2:9" ht="15" customHeight="1">
      <c r="B38" s="18" t="s">
        <v>175</v>
      </c>
      <c r="C38" s="19"/>
      <c r="D38" s="19"/>
      <c r="E38" s="19"/>
      <c r="F38" s="17"/>
      <c r="G38" s="11" t="s">
        <v>148</v>
      </c>
      <c r="H38" s="2"/>
      <c r="I38" s="2"/>
    </row>
    <row r="39" spans="2:9" ht="15" customHeight="1">
      <c r="B39" s="18" t="s">
        <v>176</v>
      </c>
      <c r="C39" s="19"/>
      <c r="D39" s="19"/>
      <c r="E39" s="19"/>
      <c r="F39" s="17"/>
      <c r="G39" s="11" t="s">
        <v>148</v>
      </c>
      <c r="H39" s="2"/>
      <c r="I39" s="2"/>
    </row>
    <row r="40" spans="2:9" ht="27" customHeight="1">
      <c r="B40" s="23" t="s">
        <v>177</v>
      </c>
      <c r="C40" s="19"/>
      <c r="D40" s="19"/>
      <c r="E40" s="19"/>
      <c r="F40" s="19"/>
      <c r="G40" s="19"/>
      <c r="H40" s="19"/>
      <c r="I40" s="17"/>
    </row>
    <row r="41" spans="2:9" ht="66.75" customHeight="1">
      <c r="B41" s="24" t="s">
        <v>178</v>
      </c>
      <c r="C41" s="19"/>
      <c r="D41" s="19"/>
      <c r="E41" s="19"/>
      <c r="F41" s="19"/>
      <c r="G41" s="19"/>
      <c r="H41" s="19"/>
      <c r="I41" s="17"/>
    </row>
    <row r="42" spans="2:9" ht="30.75" customHeight="1">
      <c r="B42" s="23" t="s">
        <v>179</v>
      </c>
      <c r="C42" s="19"/>
      <c r="D42" s="19"/>
      <c r="E42" s="19"/>
      <c r="F42" s="19"/>
      <c r="G42" s="19"/>
      <c r="H42" s="19"/>
      <c r="I42" s="17"/>
    </row>
    <row r="43" spans="2:9" ht="77.25" customHeight="1">
      <c r="B43" s="24" t="s">
        <v>180</v>
      </c>
      <c r="C43" s="19"/>
      <c r="D43" s="19"/>
      <c r="E43" s="19"/>
      <c r="F43" s="19"/>
      <c r="G43" s="19"/>
      <c r="H43" s="19"/>
      <c r="I43" s="17"/>
    </row>
    <row r="44" spans="2:9" ht="27.75" customHeight="1">
      <c r="B44" s="23" t="s">
        <v>181</v>
      </c>
      <c r="C44" s="19"/>
      <c r="D44" s="19"/>
      <c r="E44" s="19"/>
      <c r="F44" s="19"/>
      <c r="G44" s="19"/>
      <c r="H44" s="19"/>
      <c r="I44" s="17"/>
    </row>
    <row r="45" spans="2:9" ht="63.75" customHeight="1">
      <c r="B45" s="24" t="s">
        <v>178</v>
      </c>
      <c r="C45" s="19"/>
      <c r="D45" s="19"/>
      <c r="E45" s="19"/>
      <c r="F45" s="19"/>
      <c r="G45" s="19"/>
      <c r="H45" s="19"/>
      <c r="I45" s="17"/>
    </row>
    <row r="46" spans="2:9" ht="28.5" customHeight="1">
      <c r="B46" s="23" t="s">
        <v>182</v>
      </c>
      <c r="C46" s="19"/>
      <c r="D46" s="19"/>
      <c r="E46" s="19"/>
      <c r="F46" s="19"/>
      <c r="G46" s="19"/>
      <c r="H46" s="19"/>
      <c r="I46" s="17"/>
    </row>
    <row r="47" spans="2:9" ht="64.5" customHeight="1">
      <c r="B47" s="20" t="s">
        <v>183</v>
      </c>
      <c r="C47" s="21"/>
      <c r="D47" s="21"/>
      <c r="E47" s="21"/>
      <c r="F47" s="21"/>
      <c r="G47" s="21"/>
      <c r="H47" s="21"/>
      <c r="I47" s="22"/>
    </row>
    <row r="48" spans="2:9" ht="33" customHeight="1">
      <c r="B48" s="5"/>
      <c r="C48" s="6"/>
      <c r="D48" s="26" t="s">
        <v>184</v>
      </c>
      <c r="E48" s="19"/>
      <c r="F48" s="10" t="s">
        <v>185</v>
      </c>
      <c r="G48" s="32" t="s">
        <v>186</v>
      </c>
      <c r="H48" s="19"/>
      <c r="I48" s="17"/>
    </row>
    <row r="49" spans="2:9" ht="36" customHeight="1">
      <c r="B49" s="7"/>
      <c r="C49" s="8"/>
      <c r="D49" s="25" t="s">
        <v>187</v>
      </c>
      <c r="E49" s="19"/>
      <c r="F49" s="8"/>
      <c r="G49" s="8"/>
      <c r="H49" s="8"/>
      <c r="I49" s="9"/>
    </row>
  </sheetData>
  <mergeCells count="49">
    <mergeCell ref="B35:F35"/>
    <mergeCell ref="B10:F10"/>
    <mergeCell ref="B28:F28"/>
    <mergeCell ref="B19:F19"/>
    <mergeCell ref="B37:F37"/>
    <mergeCell ref="B2:E2"/>
    <mergeCell ref="F5:I5"/>
    <mergeCell ref="B30:F30"/>
    <mergeCell ref="C7:D7"/>
    <mergeCell ref="B24:F24"/>
    <mergeCell ref="B20:F20"/>
    <mergeCell ref="B15:F15"/>
    <mergeCell ref="B33:F33"/>
    <mergeCell ref="B36:F36"/>
    <mergeCell ref="B32:F32"/>
    <mergeCell ref="B26:F26"/>
    <mergeCell ref="B4:I4"/>
    <mergeCell ref="D49:E49"/>
    <mergeCell ref="B11:F11"/>
    <mergeCell ref="B42:I42"/>
    <mergeCell ref="B23:F23"/>
    <mergeCell ref="B14:F14"/>
    <mergeCell ref="D48:E48"/>
    <mergeCell ref="B17:F17"/>
    <mergeCell ref="B13:F13"/>
    <mergeCell ref="B29:F29"/>
    <mergeCell ref="B44:I44"/>
    <mergeCell ref="B38:F38"/>
    <mergeCell ref="B34:F34"/>
    <mergeCell ref="B40:I40"/>
    <mergeCell ref="G48:I48"/>
    <mergeCell ref="B45:I45"/>
    <mergeCell ref="B41:I41"/>
    <mergeCell ref="C6:D6"/>
    <mergeCell ref="B16:F16"/>
    <mergeCell ref="B47:I47"/>
    <mergeCell ref="B25:F25"/>
    <mergeCell ref="C5:D5"/>
    <mergeCell ref="B31:F31"/>
    <mergeCell ref="B22:F22"/>
    <mergeCell ref="B46:I46"/>
    <mergeCell ref="B18:F18"/>
    <mergeCell ref="B27:F27"/>
    <mergeCell ref="B43:I43"/>
    <mergeCell ref="B21:F21"/>
    <mergeCell ref="B12:F12"/>
    <mergeCell ref="B39:F39"/>
    <mergeCell ref="F6:I6"/>
    <mergeCell ref="F7:I7"/>
  </mergeCells>
  <printOptions horizontalCentered="1"/>
  <pageMargins left="0.3" right="0.3" top="0.3" bottom="0.3" header="0.5" footer="0.5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BASE</vt:lpstr>
      <vt:lpstr>Template Formulário</vt:lpstr>
      <vt:lpstr>'Template Formulário'!Area_de_impressao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Augusto Marques Faria</dc:creator>
  <cp:lastModifiedBy>Matheus Bandeira</cp:lastModifiedBy>
  <cp:lastPrinted>2026-04-27T12:50:21Z</cp:lastPrinted>
  <dcterms:created xsi:type="dcterms:W3CDTF">2022-08-06T17:16:56Z</dcterms:created>
  <dcterms:modified xsi:type="dcterms:W3CDTF">2026-04-27T12:50:22Z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22742-02e0-4fc8-b886-13159374308f_Enabled">
    <vt:lpwstr>true</vt:lpwstr>
  </property>
  <property fmtid="{D5CDD505-2E9C-101B-9397-08002B2CF9AE}" pid="3" name="MSIP_Label_98122742-02e0-4fc8-b886-13159374308f_SetDate">
    <vt:lpwstr>2022-08-06T19:43:04Z</vt:lpwstr>
  </property>
  <property fmtid="{D5CDD505-2E9C-101B-9397-08002B2CF9AE}" pid="4" name="MSIP_Label_98122742-02e0-4fc8-b886-13159374308f_Method">
    <vt:lpwstr>Privileged</vt:lpwstr>
  </property>
  <property fmtid="{D5CDD505-2E9C-101B-9397-08002B2CF9AE}" pid="5" name="MSIP_Label_98122742-02e0-4fc8-b886-13159374308f_Name">
    <vt:lpwstr>Informações Restritas</vt:lpwstr>
  </property>
  <property fmtid="{D5CDD505-2E9C-101B-9397-08002B2CF9AE}" pid="6" name="MSIP_Label_98122742-02e0-4fc8-b886-13159374308f_SiteId">
    <vt:lpwstr>0c0bcda4-1b8e-46ab-b56c-4ae3741f4340</vt:lpwstr>
  </property>
  <property fmtid="{D5CDD505-2E9C-101B-9397-08002B2CF9AE}" pid="7" name="MSIP_Label_98122742-02e0-4fc8-b886-13159374308f_ActionId">
    <vt:lpwstr>bbfe5088-d82c-4b83-bbcd-9e94ec253db0</vt:lpwstr>
  </property>
  <property fmtid="{D5CDD505-2E9C-101B-9397-08002B2CF9AE}" pid="8" name="MSIP_Label_98122742-02e0-4fc8-b886-13159374308f_ContentBits">
    <vt:lpwstr>0</vt:lpwstr>
  </property>
  <property fmtid="{D5CDD505-2E9C-101B-9397-08002B2CF9AE}" pid="9" name="ContentTypeId">
    <vt:lpwstr>0x010100C5EAEF247946E74FA7DB41EB0C3AB085</vt:lpwstr>
  </property>
  <property fmtid="{D5CDD505-2E9C-101B-9397-08002B2CF9AE}" pid="10" name="MediaServiceImageTags">
    <vt:lpwstr/>
  </property>
  <property fmtid="{D5CDD505-2E9C-101B-9397-08002B2CF9AE}" pid="11" name="Order">
    <vt:r8>129700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