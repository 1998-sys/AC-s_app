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0" documentId="13_ncr:1_{AACF48B3-89C8-4720-9F77-545DFAD2AB30}" xr6:coauthVersionLast="47" xr6:coauthVersionMax="47" xr10:uidLastSave="{00000000-0000-0000-0000-000000000000}"/>
  <bookViews>
    <workbookView xWindow="-28920" yWindow="-4080" windowWidth="29040" windowHeight="15720" xr2:uid="{AFF37A16-CD9B-46F2-AC4C-B1E66AB0EDEE}"/>
  </bookViews>
  <sheets>
    <sheet name="Linearização" sheetId="1" r:id="rId1"/>
    <sheet name="Falha Presumida" sheetId="3" r:id="rId2"/>
  </sheets>
  <definedNames>
    <definedName name="_xlnm.Print_Area" localSheetId="1">'Falha Presumida'!$B$2:$U$127</definedName>
    <definedName name="_xlnm.Print_Area" localSheetId="0">Linearização!$B$2:$U$100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1" l="1"/>
  <c r="W24" i="1"/>
  <c r="W25" i="1"/>
  <c r="W26" i="1"/>
  <c r="W27" i="1"/>
  <c r="W28" i="1"/>
  <c r="W29" i="1"/>
  <c r="W30" i="1"/>
  <c r="W31" i="1"/>
  <c r="W22" i="1"/>
  <c r="O23" i="1" l="1"/>
  <c r="O24" i="1"/>
  <c r="O25" i="1"/>
  <c r="O26" i="1"/>
  <c r="O27" i="1"/>
  <c r="O28" i="1"/>
  <c r="O29" i="1"/>
  <c r="O30" i="1"/>
  <c r="O31" i="1"/>
  <c r="O22" i="1"/>
  <c r="E21" i="3"/>
  <c r="G21" i="3"/>
  <c r="I21" i="3"/>
  <c r="K21" i="3"/>
  <c r="M21" i="3"/>
  <c r="O21" i="3"/>
  <c r="Q21" i="3"/>
  <c r="S21" i="3"/>
  <c r="C21" i="3"/>
  <c r="E30" i="1"/>
  <c r="D10" i="3"/>
  <c r="D11" i="3"/>
  <c r="D12" i="3"/>
  <c r="D13" i="3"/>
  <c r="D14" i="3"/>
  <c r="Q22" i="3"/>
  <c r="Q23" i="3"/>
  <c r="Q24" i="3"/>
  <c r="Q25" i="3"/>
  <c r="Q26" i="3"/>
  <c r="Q27" i="3"/>
  <c r="Q28" i="3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39" i="1"/>
  <c r="E40" i="1"/>
  <c r="E41" i="1"/>
  <c r="E22" i="1"/>
  <c r="K32" i="1"/>
  <c r="O32" i="1" s="1"/>
  <c r="K33" i="1"/>
  <c r="O33" i="1" s="1"/>
  <c r="K34" i="1"/>
  <c r="O34" i="1" s="1"/>
  <c r="K35" i="1"/>
  <c r="K36" i="1"/>
  <c r="K37" i="1"/>
  <c r="O37" i="1" s="1"/>
  <c r="K38" i="1"/>
  <c r="O38" i="1" s="1"/>
  <c r="K39" i="1"/>
  <c r="O39" i="1" s="1"/>
  <c r="K40" i="1"/>
  <c r="O40" i="1" s="1"/>
  <c r="K41" i="1"/>
  <c r="O41" i="1" s="1"/>
  <c r="O35" i="1"/>
  <c r="O3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56" i="1"/>
  <c r="L56" i="1" l="1"/>
  <c r="L57" i="1" l="1"/>
  <c r="L58" i="1"/>
  <c r="L59" i="1"/>
  <c r="L60" i="1"/>
  <c r="L61" i="1"/>
  <c r="L62" i="1"/>
  <c r="L63" i="1"/>
  <c r="L64" i="1"/>
  <c r="M12" i="1"/>
  <c r="M12" i="3" s="1"/>
  <c r="D19" i="3"/>
  <c r="Q35" i="3"/>
  <c r="Q36" i="3"/>
  <c r="Q37" i="3"/>
  <c r="Q38" i="3"/>
  <c r="Q39" i="3"/>
  <c r="Q40" i="3"/>
  <c r="Q41" i="3"/>
  <c r="M35" i="3"/>
  <c r="M36" i="3"/>
  <c r="M37" i="3"/>
  <c r="M38" i="3"/>
  <c r="M39" i="3"/>
  <c r="M40" i="3"/>
  <c r="M41" i="3"/>
  <c r="I35" i="3"/>
  <c r="I36" i="3"/>
  <c r="I37" i="3"/>
  <c r="I38" i="3"/>
  <c r="I39" i="3"/>
  <c r="I40" i="3"/>
  <c r="I41" i="3"/>
  <c r="G35" i="3"/>
  <c r="G36" i="3"/>
  <c r="G37" i="3"/>
  <c r="G38" i="3"/>
  <c r="G39" i="3"/>
  <c r="G40" i="3"/>
  <c r="G41" i="3"/>
  <c r="C23" i="3"/>
  <c r="E88" i="3" s="1"/>
  <c r="C24" i="3"/>
  <c r="E89" i="3" s="1"/>
  <c r="C25" i="3"/>
  <c r="E90" i="3" s="1"/>
  <c r="C26" i="3"/>
  <c r="E91" i="3" s="1"/>
  <c r="C27" i="3"/>
  <c r="E92" i="3" s="1"/>
  <c r="C28" i="3"/>
  <c r="E93" i="3" s="1"/>
  <c r="C29" i="3"/>
  <c r="E94" i="3" s="1"/>
  <c r="C30" i="3"/>
  <c r="E95" i="3" s="1"/>
  <c r="C31" i="3"/>
  <c r="E96" i="3" s="1"/>
  <c r="C32" i="3"/>
  <c r="E97" i="3" s="1"/>
  <c r="C33" i="3"/>
  <c r="E98" i="3" s="1"/>
  <c r="C34" i="3"/>
  <c r="E99" i="3" s="1"/>
  <c r="C35" i="3"/>
  <c r="E100" i="3" s="1"/>
  <c r="C36" i="3"/>
  <c r="E101" i="3" s="1"/>
  <c r="C37" i="3"/>
  <c r="E102" i="3" s="1"/>
  <c r="C38" i="3"/>
  <c r="E103" i="3" s="1"/>
  <c r="C39" i="3"/>
  <c r="E104" i="3" s="1"/>
  <c r="C40" i="3"/>
  <c r="E105" i="3" s="1"/>
  <c r="C41" i="3"/>
  <c r="E106" i="3" s="1"/>
  <c r="J79" i="1"/>
  <c r="K57" i="1"/>
  <c r="K58" i="1"/>
  <c r="K59" i="1"/>
  <c r="K60" i="1"/>
  <c r="K61" i="1"/>
  <c r="K62" i="1"/>
  <c r="K63" i="1"/>
  <c r="K64" i="1"/>
  <c r="K65" i="1"/>
  <c r="K66" i="1"/>
  <c r="K67" i="1"/>
  <c r="K68" i="1"/>
  <c r="E35" i="3"/>
  <c r="K70" i="1"/>
  <c r="K71" i="1"/>
  <c r="K72" i="1"/>
  <c r="K73" i="1"/>
  <c r="E40" i="3"/>
  <c r="K75" i="1"/>
  <c r="K56" i="1"/>
  <c r="K23" i="3"/>
  <c r="I88" i="3" s="1"/>
  <c r="K88" i="3" s="1"/>
  <c r="K25" i="3"/>
  <c r="I90" i="3" s="1"/>
  <c r="K90" i="3" s="1"/>
  <c r="K26" i="3"/>
  <c r="K29" i="3"/>
  <c r="I94" i="3" s="1"/>
  <c r="K94" i="3" s="1"/>
  <c r="L67" i="1"/>
  <c r="K35" i="3"/>
  <c r="I100" i="3" s="1"/>
  <c r="K100" i="3" s="1"/>
  <c r="K36" i="3"/>
  <c r="I101" i="3" s="1"/>
  <c r="K101" i="3" s="1"/>
  <c r="L71" i="1"/>
  <c r="L72" i="1"/>
  <c r="K39" i="3"/>
  <c r="I104" i="3" s="1"/>
  <c r="K104" i="3" s="1"/>
  <c r="K40" i="3"/>
  <c r="I105" i="3" s="1"/>
  <c r="K105" i="3" s="1"/>
  <c r="K41" i="3"/>
  <c r="I106" i="3" s="1"/>
  <c r="K106" i="3" s="1"/>
  <c r="S41" i="1"/>
  <c r="S41" i="3" s="1"/>
  <c r="S23" i="1"/>
  <c r="S23" i="3" s="1"/>
  <c r="S24" i="1"/>
  <c r="S24" i="3" s="1"/>
  <c r="S25" i="1"/>
  <c r="S25" i="3" s="1"/>
  <c r="S26" i="1"/>
  <c r="S26" i="3" s="1"/>
  <c r="S27" i="1"/>
  <c r="S27" i="3" s="1"/>
  <c r="S28" i="1"/>
  <c r="S28" i="3" s="1"/>
  <c r="S29" i="1"/>
  <c r="S29" i="3" s="1"/>
  <c r="S30" i="1"/>
  <c r="S30" i="3" s="1"/>
  <c r="S31" i="1"/>
  <c r="S31" i="3" s="1"/>
  <c r="S32" i="1"/>
  <c r="S32" i="3" s="1"/>
  <c r="S33" i="1"/>
  <c r="S33" i="3" s="1"/>
  <c r="S34" i="1"/>
  <c r="S34" i="3" s="1"/>
  <c r="S35" i="1"/>
  <c r="S35" i="3" s="1"/>
  <c r="S36" i="1"/>
  <c r="S36" i="3" s="1"/>
  <c r="S37" i="1"/>
  <c r="S37" i="3" s="1"/>
  <c r="S38" i="1"/>
  <c r="S38" i="3" s="1"/>
  <c r="S39" i="1"/>
  <c r="S39" i="3" s="1"/>
  <c r="S40" i="1"/>
  <c r="S40" i="3" s="1"/>
  <c r="S22" i="1"/>
  <c r="S22" i="3" s="1"/>
  <c r="N123" i="3"/>
  <c r="F123" i="3"/>
  <c r="F125" i="3"/>
  <c r="G23" i="3"/>
  <c r="I23" i="3"/>
  <c r="M23" i="3"/>
  <c r="G24" i="3"/>
  <c r="I24" i="3"/>
  <c r="M24" i="3"/>
  <c r="G25" i="3"/>
  <c r="I25" i="3"/>
  <c r="M25" i="3"/>
  <c r="G26" i="3"/>
  <c r="I26" i="3"/>
  <c r="M26" i="3"/>
  <c r="G27" i="3"/>
  <c r="I27" i="3"/>
  <c r="M27" i="3"/>
  <c r="G28" i="3"/>
  <c r="I28" i="3"/>
  <c r="M28" i="3"/>
  <c r="G29" i="3"/>
  <c r="I29" i="3"/>
  <c r="M29" i="3"/>
  <c r="Q29" i="3"/>
  <c r="G30" i="3"/>
  <c r="I30" i="3"/>
  <c r="M30" i="3"/>
  <c r="Q30" i="3"/>
  <c r="G31" i="3"/>
  <c r="I31" i="3"/>
  <c r="M31" i="3"/>
  <c r="Q31" i="3"/>
  <c r="G32" i="3"/>
  <c r="I32" i="3"/>
  <c r="M32" i="3"/>
  <c r="Q32" i="3"/>
  <c r="G33" i="3"/>
  <c r="I33" i="3"/>
  <c r="M33" i="3"/>
  <c r="Q33" i="3"/>
  <c r="G34" i="3"/>
  <c r="I34" i="3"/>
  <c r="K34" i="3"/>
  <c r="I99" i="3" s="1"/>
  <c r="K99" i="3" s="1"/>
  <c r="M34" i="3"/>
  <c r="Q34" i="3"/>
  <c r="G22" i="3"/>
  <c r="I22" i="3"/>
  <c r="M22" i="3"/>
  <c r="C22" i="3"/>
  <c r="E87" i="3" s="1"/>
  <c r="M10" i="3"/>
  <c r="M11" i="3"/>
  <c r="M13" i="3"/>
  <c r="M14" i="3"/>
  <c r="M15" i="3"/>
  <c r="M9" i="3"/>
  <c r="D15" i="3"/>
  <c r="D9" i="3"/>
  <c r="N90" i="3" l="1"/>
  <c r="L90" i="3"/>
  <c r="N88" i="3"/>
  <c r="L88" i="3"/>
  <c r="N94" i="3"/>
  <c r="L94" i="3"/>
  <c r="N104" i="3"/>
  <c r="L104" i="3"/>
  <c r="L99" i="3"/>
  <c r="N99" i="3"/>
  <c r="L105" i="3"/>
  <c r="N105" i="3"/>
  <c r="L101" i="3"/>
  <c r="N101" i="3"/>
  <c r="L106" i="3"/>
  <c r="N106" i="3"/>
  <c r="L100" i="3"/>
  <c r="N100" i="3"/>
  <c r="V32" i="1"/>
  <c r="L66" i="1"/>
  <c r="K32" i="3"/>
  <c r="I97" i="3" s="1"/>
  <c r="K97" i="3" s="1"/>
  <c r="V27" i="1"/>
  <c r="L70" i="1"/>
  <c r="L68" i="1"/>
  <c r="L75" i="1"/>
  <c r="K38" i="3"/>
  <c r="I103" i="3" s="1"/>
  <c r="K103" i="3" s="1"/>
  <c r="V40" i="1"/>
  <c r="L65" i="1"/>
  <c r="K24" i="3"/>
  <c r="I89" i="3" s="1"/>
  <c r="K89" i="3" s="1"/>
  <c r="V23" i="1"/>
  <c r="K31" i="3"/>
  <c r="I96" i="3" s="1"/>
  <c r="K96" i="3" s="1"/>
  <c r="K30" i="3"/>
  <c r="I95" i="3" s="1"/>
  <c r="K95" i="3" s="1"/>
  <c r="K28" i="3"/>
  <c r="I93" i="3" s="1"/>
  <c r="K93" i="3" s="1"/>
  <c r="K27" i="3"/>
  <c r="I92" i="3" s="1"/>
  <c r="K92" i="3" s="1"/>
  <c r="K22" i="3"/>
  <c r="I87" i="3" s="1"/>
  <c r="K87" i="3" s="1"/>
  <c r="E31" i="3"/>
  <c r="E23" i="3"/>
  <c r="K57" i="3" s="1"/>
  <c r="M79" i="1"/>
  <c r="K69" i="1"/>
  <c r="O36" i="3"/>
  <c r="E39" i="3"/>
  <c r="K74" i="1"/>
  <c r="O37" i="3"/>
  <c r="V22" i="1"/>
  <c r="O38" i="3"/>
  <c r="V25" i="1"/>
  <c r="K37" i="3"/>
  <c r="I102" i="3" s="1"/>
  <c r="K102" i="3" s="1"/>
  <c r="I91" i="3"/>
  <c r="K91" i="3" s="1"/>
  <c r="O31" i="3"/>
  <c r="K33" i="3"/>
  <c r="E41" i="3"/>
  <c r="E38" i="3"/>
  <c r="E37" i="3"/>
  <c r="E36" i="3"/>
  <c r="V24" i="1"/>
  <c r="V28" i="1"/>
  <c r="V37" i="1"/>
  <c r="V36" i="1"/>
  <c r="V33" i="1"/>
  <c r="V38" i="1"/>
  <c r="V30" i="1"/>
  <c r="E26" i="3"/>
  <c r="K60" i="3" s="1"/>
  <c r="E33" i="3"/>
  <c r="E32" i="3"/>
  <c r="E34" i="3"/>
  <c r="O30" i="3"/>
  <c r="E24" i="3"/>
  <c r="K58" i="3" s="1"/>
  <c r="E25" i="3"/>
  <c r="K59" i="3" s="1"/>
  <c r="E22" i="3"/>
  <c r="K56" i="3" s="1"/>
  <c r="E28" i="3"/>
  <c r="E30" i="3"/>
  <c r="E29" i="3"/>
  <c r="E27" i="3"/>
  <c r="O28" i="3"/>
  <c r="O27" i="3"/>
  <c r="N125" i="3"/>
  <c r="I85" i="3"/>
  <c r="XFC62" i="3"/>
  <c r="I62" i="3"/>
  <c r="M78" i="3" s="1"/>
  <c r="XFC61" i="3"/>
  <c r="I61" i="3"/>
  <c r="XFC60" i="3"/>
  <c r="I60" i="3"/>
  <c r="I59" i="3"/>
  <c r="XFC58" i="3"/>
  <c r="I58" i="3"/>
  <c r="I57" i="3"/>
  <c r="I56" i="3"/>
  <c r="J78" i="3" s="1"/>
  <c r="L62" i="3"/>
  <c r="K62" i="3"/>
  <c r="L61" i="3"/>
  <c r="K61" i="3"/>
  <c r="L93" i="3" l="1"/>
  <c r="N93" i="3"/>
  <c r="N92" i="3"/>
  <c r="L92" i="3"/>
  <c r="N91" i="3"/>
  <c r="L91" i="3"/>
  <c r="N89" i="3"/>
  <c r="L89" i="3"/>
  <c r="N87" i="3"/>
  <c r="L87" i="3"/>
  <c r="XFC57" i="3"/>
  <c r="L96" i="3"/>
  <c r="N96" i="3"/>
  <c r="N95" i="3"/>
  <c r="L95" i="3"/>
  <c r="L97" i="3"/>
  <c r="N97" i="3"/>
  <c r="N103" i="3"/>
  <c r="L103" i="3"/>
  <c r="N102" i="3"/>
  <c r="L102" i="3"/>
  <c r="XFC59" i="3"/>
  <c r="V31" i="1"/>
  <c r="V35" i="1"/>
  <c r="L69" i="1"/>
  <c r="V34" i="1"/>
  <c r="V39" i="1"/>
  <c r="L73" i="1"/>
  <c r="O40" i="3"/>
  <c r="L74" i="1"/>
  <c r="O39" i="3"/>
  <c r="O35" i="3"/>
  <c r="V26" i="1"/>
  <c r="V41" i="1"/>
  <c r="O41" i="3"/>
  <c r="I98" i="3"/>
  <c r="K98" i="3" s="1"/>
  <c r="O25" i="3"/>
  <c r="L59" i="3" s="1"/>
  <c r="O26" i="3"/>
  <c r="L60" i="3" s="1"/>
  <c r="O29" i="3"/>
  <c r="V29" i="1"/>
  <c r="O32" i="3"/>
  <c r="O22" i="3"/>
  <c r="L56" i="3" s="1"/>
  <c r="O24" i="3"/>
  <c r="L58" i="3" s="1"/>
  <c r="O33" i="3"/>
  <c r="O23" i="3"/>
  <c r="L57" i="3" s="1"/>
  <c r="O34" i="3"/>
  <c r="L76" i="1" l="1"/>
  <c r="L98" i="3"/>
  <c r="N98" i="3"/>
  <c r="L75" i="3"/>
  <c r="XFC58" i="1"/>
  <c r="XFC59" i="1"/>
  <c r="XFC69" i="1"/>
  <c r="XFC57" i="1"/>
  <c r="N98" i="1" l="1"/>
</calcChain>
</file>

<file path=xl/sharedStrings.xml><?xml version="1.0" encoding="utf-8"?>
<sst xmlns="http://schemas.openxmlformats.org/spreadsheetml/2006/main" count="126" uniqueCount="74">
  <si>
    <t>Linearização da Calibração no Computador de Vazão</t>
  </si>
  <si>
    <t>Informações Gerais</t>
  </si>
  <si>
    <t>Cliente:</t>
  </si>
  <si>
    <t>Nº Certificado:</t>
  </si>
  <si>
    <t>Instalação:</t>
  </si>
  <si>
    <t>Modelo:</t>
  </si>
  <si>
    <t>TAG do Sistema:</t>
  </si>
  <si>
    <t>Fabricante:</t>
  </si>
  <si>
    <t>Aplicação:</t>
  </si>
  <si>
    <t>TAG:</t>
  </si>
  <si>
    <t>Sistema:</t>
  </si>
  <si>
    <t>Nº Série:</t>
  </si>
  <si>
    <t>Diâmetro:</t>
  </si>
  <si>
    <t>Tipo do Medidor:</t>
  </si>
  <si>
    <t>Faixa Calibrada:</t>
  </si>
  <si>
    <t>Valores do Certificado de Calibração</t>
  </si>
  <si>
    <t>K-Factor do medidor:</t>
  </si>
  <si>
    <t>pulsos/m³</t>
  </si>
  <si>
    <t>Vazão da Calibração (m³/h)</t>
  </si>
  <si>
    <t>Frequência (Hz)</t>
  </si>
  <si>
    <t>Meter Factor</t>
  </si>
  <si>
    <t>Erro (%)</t>
  </si>
  <si>
    <t>K-factor corrigido</t>
  </si>
  <si>
    <t>Incerteza (%)</t>
  </si>
  <si>
    <t>Status</t>
  </si>
  <si>
    <t>Fórmulas</t>
  </si>
  <si>
    <t>K-Factor do medidor</t>
  </si>
  <si>
    <t>K- Factor do medidor</t>
  </si>
  <si>
    <t>Vazão em m³/h</t>
  </si>
  <si>
    <t>MF da vazão</t>
  </si>
  <si>
    <t>3600 referente à conversão de horas para segundos</t>
  </si>
  <si>
    <t>Dados à Serem Configurados no Computador de Vazão</t>
  </si>
  <si>
    <t>Observações</t>
  </si>
  <si>
    <r>
      <t xml:space="preserve">1 - Os resultados apresentados neste documento aplicam-se somente ao equipamento calibrado indicado. </t>
    </r>
    <r>
      <rPr>
        <i/>
        <sz val="11"/>
        <color indexed="8"/>
        <rFont val="Calibri"/>
        <family val="2"/>
      </rPr>
      <t>The results reported in this doccument apply only to the indicated equipment.</t>
    </r>
  </si>
  <si>
    <t>Elaborado por:</t>
  </si>
  <si>
    <t>Verificado por:</t>
  </si>
  <si>
    <t>PRIO</t>
  </si>
  <si>
    <t>KF médio</t>
  </si>
  <si>
    <t>Limites de Alarme</t>
  </si>
  <si>
    <t xml:space="preserve">Alarme de vazão baixa: </t>
  </si>
  <si>
    <t>Volume de Referência em m³</t>
  </si>
  <si>
    <t>Volume do Medidor em m³</t>
  </si>
  <si>
    <t>Carolina Bastos</t>
  </si>
  <si>
    <t>N°</t>
  </si>
  <si>
    <t>Data da Calibração:</t>
  </si>
  <si>
    <t>Alarme de vazão 
alta:</t>
  </si>
  <si>
    <t>Cálculo Falha Presumida</t>
  </si>
  <si>
    <t>Diff MF</t>
  </si>
  <si>
    <t>MF
Calibração  atual</t>
  </si>
  <si>
    <t>MF
Calibração anterior</t>
  </si>
  <si>
    <t>Avaliação de Falha Presumida de Medição</t>
  </si>
  <si>
    <t>Fator de Correção (Fci)</t>
  </si>
  <si>
    <t>KFc = K-Factor do medidor / MF</t>
  </si>
  <si>
    <t>MF = Volume de Referência / Volume do Medidor</t>
  </si>
  <si>
    <t>KFc = K-Factor Corrigido</t>
  </si>
  <si>
    <t>MF = Meter Factor</t>
  </si>
  <si>
    <t>F = Frequência em Hz</t>
  </si>
  <si>
    <t>TURBINA</t>
  </si>
  <si>
    <t>FAURE HERMAN</t>
  </si>
  <si>
    <t>C=7</t>
  </si>
  <si>
    <t>MF</t>
  </si>
  <si>
    <t>Volume de Referência (L)</t>
  </si>
  <si>
    <t>Volume do Medidor (L)</t>
  </si>
  <si>
    <t>FT-7145B-01</t>
  </si>
  <si>
    <t>TRANSFERÊNCIA DE CUSTÓDIA</t>
  </si>
  <si>
    <t>OFFLOADING TRAMO B</t>
  </si>
  <si>
    <t>LMV 48896-25</t>
  </si>
  <si>
    <t>TZN350-3500</t>
  </si>
  <si>
    <t>14"</t>
  </si>
  <si>
    <t>440 m³/h a 2500 m³/h</t>
  </si>
  <si>
    <t>LMV 49874-26</t>
  </si>
  <si>
    <t>Vanessa Vieira</t>
  </si>
  <si>
    <t>F (Hz) = (K-Factor do medidor*Vazão) / 3600</t>
  </si>
  <si>
    <t>FPSO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</si>
</sst>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16]d\ \ mmmm\,\ yyyy;@"/>
    <numFmt numFmtId="165" formatCode="d\-mmm\-yyyy"/>
    <numFmt numFmtId="166" formatCode="0.0000"/>
    <numFmt numFmtId="167" formatCode="0.000"/>
    <numFmt numFmtId="168" formatCode="0.00000"/>
    <numFmt numFmtId="169" formatCode="General\ &quot;m³/h&quot;"/>
    <numFmt numFmtId="170" formatCode="0.0"/>
  </numFmts>
  <fonts count="13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i/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</borders>
  <cellStyleXfs count="3">
    <xf numFmtId="0" fontId="0" fillId="0" borderId="0"/>
    <xf numFmtId="0" fontId="12" fillId="0" borderId="0"/>
    <xf numFmtId="9" fontId="12" fillId="0" borderId="0" applyFont="0" applyFill="0" applyBorder="0" applyAlignment="0" applyProtection="0"/>
  </cellStyleXfs>
  <cellXfs count="274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/>
    <xf numFmtId="0" fontId="3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6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4" fillId="0" borderId="0" xfId="0" applyFont="1"/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3" fillId="0" borderId="2" xfId="0" applyFont="1" applyBorder="1" applyProtection="1">
      <protection hidden="1"/>
    </xf>
    <xf numFmtId="165" fontId="3" fillId="0" borderId="0" xfId="0" applyNumberFormat="1" applyFont="1" applyAlignment="1" applyProtection="1">
      <alignment horizontal="left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24" xfId="0" applyNumberFormat="1" applyFont="1" applyBorder="1"/>
    <xf numFmtId="167" fontId="2" fillId="0" borderId="25" xfId="0" applyNumberFormat="1" applyFont="1" applyBorder="1"/>
    <xf numFmtId="0" fontId="2" fillId="0" borderId="0" xfId="0" applyFont="1" applyAlignment="1">
      <alignment horizontal="right"/>
    </xf>
    <xf numFmtId="167" fontId="2" fillId="0" borderId="0" xfId="0" applyNumberFormat="1" applyFont="1" applyAlignment="1">
      <alignment horizontal="center"/>
    </xf>
    <xf numFmtId="0" fontId="2" fillId="0" borderId="9" xfId="1" applyFont="1" applyBorder="1" applyAlignment="1">
      <alignment horizontal="center" vertical="center"/>
    </xf>
    <xf numFmtId="0" fontId="2" fillId="0" borderId="19" xfId="0" applyFont="1" applyBorder="1"/>
    <xf numFmtId="0" fontId="2" fillId="0" borderId="33" xfId="0" applyFont="1" applyBorder="1" applyAlignment="1">
      <alignment horizont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2" fillId="0" borderId="25" xfId="0" applyFont="1" applyBorder="1"/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1" fillId="0" borderId="0" xfId="0" applyFont="1" applyAlignment="1" applyProtection="1">
      <alignment vertical="center" wrapText="1"/>
      <protection hidden="1"/>
    </xf>
    <xf numFmtId="0" fontId="2" fillId="0" borderId="11" xfId="0" applyFont="1" applyBorder="1" applyAlignment="1">
      <alignment horizontal="center"/>
    </xf>
    <xf numFmtId="10" fontId="2" fillId="0" borderId="30" xfId="2" applyNumberFormat="1" applyFont="1" applyBorder="1" applyAlignment="1">
      <alignment horizontal="center"/>
    </xf>
    <xf numFmtId="10" fontId="2" fillId="0" borderId="38" xfId="2" applyNumberFormat="1" applyFont="1" applyBorder="1" applyAlignment="1">
      <alignment horizontal="center"/>
    </xf>
    <xf numFmtId="170" fontId="2" fillId="0" borderId="0" xfId="0" applyNumberFormat="1" applyFont="1"/>
    <xf numFmtId="0" fontId="2" fillId="0" borderId="22" xfId="0" applyFont="1" applyBorder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0" xfId="0" applyNumberFormat="1" applyFont="1"/>
    <xf numFmtId="0" fontId="2" fillId="0" borderId="32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0" fontId="2" fillId="0" borderId="48" xfId="2" applyNumberFormat="1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4" fillId="0" borderId="53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8" fontId="2" fillId="0" borderId="0" xfId="0" applyNumberFormat="1" applyFont="1" applyAlignment="1">
      <alignment horizontal="center"/>
    </xf>
    <xf numFmtId="10" fontId="2" fillId="0" borderId="0" xfId="2" applyNumberFormat="1" applyFont="1"/>
    <xf numFmtId="1" fontId="2" fillId="0" borderId="56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" fontId="2" fillId="0" borderId="4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0" fontId="2" fillId="0" borderId="56" xfId="2" applyNumberFormat="1" applyFont="1" applyBorder="1" applyAlignment="1">
      <alignment horizontal="center"/>
    </xf>
    <xf numFmtId="10" fontId="2" fillId="0" borderId="42" xfId="2" applyNumberFormat="1" applyFont="1" applyBorder="1" applyAlignment="1">
      <alignment horizontal="center"/>
    </xf>
    <xf numFmtId="10" fontId="2" fillId="0" borderId="43" xfId="2" applyNumberFormat="1" applyFont="1" applyBorder="1" applyAlignment="1">
      <alignment horizontal="center"/>
    </xf>
    <xf numFmtId="2" fontId="2" fillId="0" borderId="22" xfId="0" quotePrefix="1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168" fontId="2" fillId="0" borderId="18" xfId="0" applyNumberFormat="1" applyFont="1" applyBorder="1" applyAlignment="1">
      <alignment horizontal="center"/>
    </xf>
    <xf numFmtId="168" fontId="2" fillId="0" borderId="19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168" fontId="2" fillId="0" borderId="56" xfId="0" applyNumberFormat="1" applyFont="1" applyBorder="1" applyAlignment="1">
      <alignment horizontal="center"/>
    </xf>
    <xf numFmtId="2" fontId="2" fillId="0" borderId="56" xfId="0" quotePrefix="1" applyNumberFormat="1" applyFont="1" applyBorder="1" applyAlignment="1">
      <alignment horizontal="center"/>
    </xf>
    <xf numFmtId="168" fontId="2" fillId="0" borderId="37" xfId="0" applyNumberFormat="1" applyFont="1" applyBorder="1" applyAlignment="1">
      <alignment horizontal="center"/>
    </xf>
    <xf numFmtId="168" fontId="2" fillId="0" borderId="34" xfId="0" applyNumberFormat="1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43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2" fontId="2" fillId="0" borderId="40" xfId="0" applyNumberFormat="1" applyFont="1" applyBorder="1" applyAlignment="1">
      <alignment horizontal="center"/>
    </xf>
    <xf numFmtId="2" fontId="2" fillId="0" borderId="43" xfId="0" applyNumberFormat="1" applyFont="1" applyBorder="1" applyAlignment="1">
      <alignment horizontal="center"/>
    </xf>
    <xf numFmtId="168" fontId="2" fillId="0" borderId="43" xfId="0" applyNumberFormat="1" applyFont="1" applyBorder="1" applyAlignment="1">
      <alignment horizontal="center"/>
    </xf>
    <xf numFmtId="2" fontId="2" fillId="0" borderId="43" xfId="0" quotePrefix="1" applyNumberFormat="1" applyFont="1" applyBorder="1" applyAlignment="1">
      <alignment horizontal="center"/>
    </xf>
    <xf numFmtId="168" fontId="2" fillId="0" borderId="41" xfId="0" applyNumberFormat="1" applyFont="1" applyBorder="1" applyAlignment="1">
      <alignment horizontal="center"/>
    </xf>
    <xf numFmtId="168" fontId="2" fillId="0" borderId="40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4" fontId="1" fillId="0" borderId="0" xfId="0" applyNumberFormat="1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2" fillId="0" borderId="42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2" fontId="2" fillId="0" borderId="42" xfId="0" applyNumberFormat="1" applyFont="1" applyBorder="1" applyAlignment="1">
      <alignment horizontal="center"/>
    </xf>
    <xf numFmtId="1" fontId="2" fillId="0" borderId="35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168" fontId="2" fillId="0" borderId="42" xfId="0" applyNumberFormat="1" applyFont="1" applyBorder="1" applyAlignment="1">
      <alignment horizontal="center"/>
    </xf>
    <xf numFmtId="2" fontId="2" fillId="0" borderId="42" xfId="0" quotePrefix="1" applyNumberFormat="1" applyFont="1" applyBorder="1" applyAlignment="1">
      <alignment horizontal="center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1" fillId="0" borderId="0" xfId="0" applyFont="1" applyAlignment="1" applyProtection="1">
      <alignment horizontal="left" vertical="center" wrapText="1"/>
      <protection hidden="1"/>
    </xf>
    <xf numFmtId="169" fontId="1" fillId="0" borderId="0" xfId="0" applyNumberFormat="1" applyFont="1" applyAlignment="1" applyProtection="1">
      <alignment horizontal="left" vertical="center" wrapText="1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168" fontId="2" fillId="0" borderId="24" xfId="0" applyNumberFormat="1" applyFont="1" applyBorder="1" applyAlignment="1">
      <alignment horizontal="center"/>
    </xf>
    <xf numFmtId="168" fontId="2" fillId="0" borderId="25" xfId="0" applyNumberFormat="1" applyFont="1" applyBorder="1" applyAlignment="1">
      <alignment horizontal="center"/>
    </xf>
    <xf numFmtId="166" fontId="2" fillId="0" borderId="22" xfId="0" applyNumberFormat="1" applyFont="1" applyBorder="1" applyAlignment="1">
      <alignment horizontal="center"/>
    </xf>
    <xf numFmtId="166" fontId="2" fillId="0" borderId="23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4" fillId="0" borderId="5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8" fontId="2" fillId="0" borderId="15" xfId="0" applyNumberFormat="1" applyFont="1" applyBorder="1" applyAlignment="1">
      <alignment horizontal="center"/>
    </xf>
    <xf numFmtId="168" fontId="2" fillId="0" borderId="20" xfId="0" applyNumberFormat="1" applyFont="1" applyBorder="1" applyAlignment="1">
      <alignment horizontal="center"/>
    </xf>
    <xf numFmtId="168" fontId="2" fillId="0" borderId="21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4" fontId="4" fillId="0" borderId="0" xfId="0" applyNumberFormat="1" applyFont="1" applyAlignment="1">
      <alignment horizontal="center"/>
    </xf>
    <xf numFmtId="168" fontId="2" fillId="0" borderId="36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2" fillId="0" borderId="18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2" fontId="2" fillId="0" borderId="26" xfId="0" quotePrefix="1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166" fontId="2" fillId="0" borderId="46" xfId="0" applyNumberFormat="1" applyFont="1" applyBorder="1" applyAlignment="1">
      <alignment horizontal="center"/>
    </xf>
    <xf numFmtId="166" fontId="2" fillId="0" borderId="47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6" fontId="2" fillId="0" borderId="40" xfId="0" applyNumberFormat="1" applyFont="1" applyBorder="1" applyAlignment="1">
      <alignment horizontal="center"/>
    </xf>
    <xf numFmtId="166" fontId="2" fillId="0" borderId="41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3" fillId="0" borderId="1" xfId="0" applyFont="1" applyBorder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4" fontId="3" fillId="0" borderId="1" xfId="0" applyNumberFormat="1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2" fillId="0" borderId="42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 wrapText="1"/>
    </xf>
    <xf numFmtId="169" fontId="2" fillId="0" borderId="36" xfId="1" applyNumberFormat="1" applyFont="1" applyBorder="1" applyAlignment="1">
      <alignment horizontal="center" vertical="center"/>
    </xf>
    <xf numFmtId="169" fontId="2" fillId="0" borderId="17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2" fillId="0" borderId="3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169" fontId="2" fillId="0" borderId="42" xfId="1" applyNumberFormat="1" applyFont="1" applyBorder="1" applyAlignment="1">
      <alignment horizontal="center" vertical="center"/>
    </xf>
    <xf numFmtId="169" fontId="2" fillId="0" borderId="43" xfId="1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/>
    </xf>
    <xf numFmtId="168" fontId="2" fillId="0" borderId="10" xfId="0" applyNumberFormat="1" applyFont="1" applyBorder="1" applyAlignment="1">
      <alignment horizontal="center"/>
    </xf>
    <xf numFmtId="168" fontId="2" fillId="0" borderId="14" xfId="0" applyNumberFormat="1" applyFont="1" applyBorder="1" applyAlignment="1">
      <alignment horizontal="center"/>
    </xf>
    <xf numFmtId="168" fontId="2" fillId="0" borderId="16" xfId="0" applyNumberFormat="1" applyFont="1" applyBorder="1" applyAlignment="1">
      <alignment horizontal="center"/>
    </xf>
    <xf numFmtId="168" fontId="2" fillId="0" borderId="17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68" fontId="2" fillId="0" borderId="22" xfId="0" applyNumberFormat="1" applyFont="1" applyBorder="1" applyAlignment="1">
      <alignment horizontal="center"/>
    </xf>
    <xf numFmtId="168" fontId="2" fillId="0" borderId="23" xfId="0" applyNumberFormat="1" applyFont="1" applyBorder="1" applyAlignment="1">
      <alignment horizontal="center"/>
    </xf>
    <xf numFmtId="168" fontId="2" fillId="0" borderId="18" xfId="2" applyNumberFormat="1" applyFont="1" applyBorder="1" applyAlignment="1">
      <alignment horizontal="center"/>
    </xf>
    <xf numFmtId="168" fontId="2" fillId="0" borderId="19" xfId="2" applyNumberFormat="1" applyFont="1" applyBorder="1" applyAlignment="1">
      <alignment horizontal="center"/>
    </xf>
    <xf numFmtId="168" fontId="2" fillId="0" borderId="20" xfId="2" applyNumberFormat="1" applyFont="1" applyBorder="1" applyAlignment="1">
      <alignment horizontal="center"/>
    </xf>
    <xf numFmtId="168" fontId="2" fillId="0" borderId="21" xfId="2" applyNumberFormat="1" applyFont="1" applyBorder="1" applyAlignment="1">
      <alignment horizontal="center"/>
    </xf>
    <xf numFmtId="168" fontId="2" fillId="0" borderId="24" xfId="2" applyNumberFormat="1" applyFont="1" applyBorder="1" applyAlignment="1">
      <alignment horizontal="center"/>
    </xf>
    <xf numFmtId="168" fontId="2" fillId="0" borderId="25" xfId="2" applyNumberFormat="1" applyFont="1" applyBorder="1" applyAlignment="1">
      <alignment horizontal="center"/>
    </xf>
    <xf numFmtId="168" fontId="2" fillId="0" borderId="56" xfId="2" applyNumberFormat="1" applyFont="1" applyBorder="1" applyAlignment="1">
      <alignment horizontal="center"/>
    </xf>
    <xf numFmtId="168" fontId="2" fillId="0" borderId="43" xfId="2" applyNumberFormat="1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2" fillId="0" borderId="31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2" fontId="2" fillId="0" borderId="45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168" fontId="2" fillId="0" borderId="42" xfId="2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2" fontId="2" fillId="0" borderId="35" xfId="0" applyNumberFormat="1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1" fontId="2" fillId="0" borderId="39" xfId="0" applyNumberFormat="1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8" fontId="2" fillId="0" borderId="26" xfId="0" applyNumberFormat="1" applyFont="1" applyBorder="1" applyAlignment="1">
      <alignment horizontal="center"/>
    </xf>
    <xf numFmtId="168" fontId="2" fillId="0" borderId="39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3">
    <cellStyle name="Normal" xfId="0" builtinId="0"/>
    <cellStyle name="Normal 2" xfId="1" xr:uid="{4C0AA20B-867E-4FEA-8523-3223BEAB3B90}"/>
    <cellStyle name="Porcentagem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36397</xdr:colOff>
      <xdr:row>1</xdr:row>
      <xdr:rowOff>155529</xdr:rowOff>
    </xdr:from>
    <xdr:to>
      <xdr:col>4</xdr:col>
      <xdr:colOff>8959</xdr:colOff>
      <xdr:row>4</xdr:row>
      <xdr:rowOff>97268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277618A-9EA5-42AD-9CB4-3225D5A80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314" y="346029"/>
          <a:ext cx="1880842" cy="6719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396875</xdr:colOff>
      <xdr:row>1</xdr:row>
      <xdr:rowOff>105744</xdr:rowOff>
    </xdr:from>
    <xdr:to>
      <xdr:col>19</xdr:col>
      <xdr:colOff>550148</xdr:colOff>
      <xdr:row>4</xdr:row>
      <xdr:rowOff>133590</xdr:rowOff>
    </xdr:to>
    <xdr:pic>
      <xdr:nvPicPr>
        <xdr:cNvPr id="5" name="Imagem 4" descr="Ícone&#10;&#10;Descrição gerada automaticamente">
          <a:extLst>
            <a:ext uri="{FF2B5EF4-FFF2-40B4-BE49-F238E27FC236}">
              <a16:creationId xmlns:a16="http://schemas.microsoft.com/office/drawing/2014/main" id="{F4655C65-ACB6-403D-A72D-BF1C9BC9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5350" y="105744"/>
          <a:ext cx="1286748" cy="751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36397</xdr:colOff>
      <xdr:row>1</xdr:row>
      <xdr:rowOff>155529</xdr:rowOff>
    </xdr:from>
    <xdr:to>
      <xdr:col>3</xdr:col>
      <xdr:colOff>469334</xdr:colOff>
      <xdr:row>4</xdr:row>
      <xdr:rowOff>97268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532D91-3BD5-4F45-91CC-A7B003465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972" y="155529"/>
          <a:ext cx="1804537" cy="665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177800</xdr:colOff>
      <xdr:row>1</xdr:row>
      <xdr:rowOff>67644</xdr:rowOff>
    </xdr:from>
    <xdr:to>
      <xdr:col>19</xdr:col>
      <xdr:colOff>321548</xdr:colOff>
      <xdr:row>4</xdr:row>
      <xdr:rowOff>95490</xdr:rowOff>
    </xdr:to>
    <xdr:pic>
      <xdr:nvPicPr>
        <xdr:cNvPr id="3" name="Imagem 2" descr="Ícone&#10;&#10;Descrição gerada automaticamente">
          <a:extLst>
            <a:ext uri="{FF2B5EF4-FFF2-40B4-BE49-F238E27FC236}">
              <a16:creationId xmlns:a16="http://schemas.microsoft.com/office/drawing/2014/main" id="{2B099EC7-CF13-40BA-9EFC-4755AADAD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6425" y="67644"/>
          <a:ext cx="1286748" cy="75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95B0-A258-4B13-A77A-2090F6137D20}">
  <sheetPr>
    <pageSetUpPr fitToPage="1"/>
  </sheetPr>
  <dimension ref="A1:XFD101"/>
  <sheetViews>
    <sheetView tabSelected="1" view="pageBreakPreview" topLeftCell="A2" zoomScaleNormal="100" zoomScaleSheetLayoutView="100" workbookViewId="0">
      <selection activeCell="M22" sqref="M22:N22"/>
    </sheetView>
  </sheetViews>
  <sheetFormatPr defaultColWidth="0" defaultRowHeight="15" x14ac:dyDescent="0.25"/>
  <cols>
    <col min="1" max="1" width="2.5703125" style="2" customWidth="1"/>
    <col min="2" max="2" width="3.5703125" style="2" customWidth="1"/>
    <col min="3" max="3" width="20.5703125" style="2" customWidth="1"/>
    <col min="4" max="4" width="6.85546875" style="2" customWidth="1"/>
    <col min="5" max="5" width="9.42578125" style="2" bestFit="1" customWidth="1"/>
    <col min="6" max="6" width="5.28515625" style="2" customWidth="1"/>
    <col min="7" max="7" width="15.85546875" style="2" customWidth="1"/>
    <col min="8" max="8" width="10.28515625" style="2" customWidth="1"/>
    <col min="9" max="9" width="9.85546875" style="2" customWidth="1"/>
    <col min="10" max="10" width="14.85546875" style="2" customWidth="1"/>
    <col min="11" max="11" width="15.7109375" style="2" customWidth="1"/>
    <col min="12" max="12" width="4.5703125" style="2" customWidth="1"/>
    <col min="13" max="13" width="15.5703125" style="2" customWidth="1"/>
    <col min="14" max="15" width="8.5703125" style="2" customWidth="1"/>
    <col min="16" max="16" width="7.7109375" style="2" customWidth="1"/>
    <col min="17" max="17" width="8.5703125" style="2" customWidth="1"/>
    <col min="18" max="18" width="4.85546875" style="2" customWidth="1"/>
    <col min="19" max="19" width="3.5703125" style="2" customWidth="1"/>
    <col min="20" max="20" width="9.5703125" style="2" customWidth="1"/>
    <col min="21" max="21" width="3.5703125" style="2" customWidth="1"/>
    <col min="22" max="22" width="5.5703125" style="2" bestFit="1" customWidth="1"/>
    <col min="23" max="23" width="11.7109375" style="36" customWidth="1"/>
    <col min="24" max="26" width="0" style="2" hidden="1" customWidth="1"/>
    <col min="27" max="16384" width="8.7109375" style="2" hidden="1"/>
  </cols>
  <sheetData>
    <row r="1" spans="2:23" ht="15.75" hidden="1" thickBot="1" x14ac:dyDescent="0.3"/>
    <row r="2" spans="2:23" ht="15.95" customHeight="1" x14ac:dyDescent="0.25">
      <c r="B2" s="151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3"/>
      <c r="V2" s="32"/>
      <c r="W2" s="72"/>
    </row>
    <row r="3" spans="2:23" ht="15.95" customHeight="1" x14ac:dyDescent="0.25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6"/>
      <c r="V3" s="32"/>
      <c r="W3" s="72"/>
    </row>
    <row r="4" spans="2:23" ht="26.1" customHeight="1" x14ac:dyDescent="0.25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6"/>
      <c r="V4" s="32"/>
      <c r="W4" s="72"/>
    </row>
    <row r="5" spans="2:23" ht="15.95" customHeight="1" thickBot="1" x14ac:dyDescent="0.3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9"/>
      <c r="V5" s="32"/>
      <c r="W5" s="72"/>
    </row>
    <row r="6" spans="2:23" ht="15.75" hidden="1" x14ac:dyDescent="0.25"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1"/>
      <c r="V6" s="1"/>
      <c r="W6" s="72"/>
    </row>
    <row r="7" spans="2:23" ht="19.5" hidden="1" thickBot="1" x14ac:dyDescent="0.3">
      <c r="B7" s="10"/>
      <c r="C7" s="125" t="s">
        <v>1</v>
      </c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"/>
      <c r="V7" s="3"/>
      <c r="W7" s="72"/>
    </row>
    <row r="8" spans="2:23" ht="15.95" customHeight="1" x14ac:dyDescent="0.25"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12"/>
      <c r="V8" s="3"/>
      <c r="W8" s="72"/>
    </row>
    <row r="9" spans="2:23" ht="15.75" x14ac:dyDescent="0.25">
      <c r="B9" s="10"/>
      <c r="C9" s="20" t="s">
        <v>2</v>
      </c>
      <c r="D9" s="117" t="s">
        <v>36</v>
      </c>
      <c r="E9" s="117"/>
      <c r="F9" s="117"/>
      <c r="G9" s="117"/>
      <c r="H9" s="52"/>
      <c r="I9" s="52"/>
      <c r="J9" s="52"/>
      <c r="K9" s="142" t="s">
        <v>3</v>
      </c>
      <c r="L9" s="142"/>
      <c r="M9" s="138" t="s">
        <v>70</v>
      </c>
      <c r="N9" s="138"/>
      <c r="O9" s="138"/>
      <c r="P9" s="138"/>
      <c r="Q9" s="138"/>
      <c r="R9" s="138"/>
      <c r="S9" s="138"/>
      <c r="T9" s="138"/>
      <c r="U9" s="13"/>
      <c r="V9" s="33"/>
      <c r="W9" s="72"/>
    </row>
    <row r="10" spans="2:23" ht="15.75" x14ac:dyDescent="0.25">
      <c r="B10" s="14"/>
      <c r="C10" s="21" t="s">
        <v>4</v>
      </c>
      <c r="D10" s="117" t="s">
        <v>73</v>
      </c>
      <c r="E10" s="117"/>
      <c r="F10" s="117"/>
      <c r="G10" s="117"/>
      <c r="H10" s="52"/>
      <c r="I10" s="52"/>
      <c r="J10" s="52"/>
      <c r="K10" s="140" t="s">
        <v>5</v>
      </c>
      <c r="L10" s="140"/>
      <c r="M10" s="138" t="s">
        <v>67</v>
      </c>
      <c r="N10" s="138"/>
      <c r="O10" s="138"/>
      <c r="P10" s="138"/>
      <c r="Q10" s="138"/>
      <c r="R10" s="138"/>
      <c r="S10" s="138"/>
      <c r="T10" s="138"/>
      <c r="U10" s="15"/>
      <c r="V10" s="4"/>
      <c r="W10" s="73"/>
    </row>
    <row r="11" spans="2:23" ht="15.75" customHeight="1" x14ac:dyDescent="0.25">
      <c r="B11" s="14"/>
      <c r="C11" s="22" t="s">
        <v>6</v>
      </c>
      <c r="D11" s="117" t="s">
        <v>63</v>
      </c>
      <c r="E11" s="117"/>
      <c r="F11" s="117"/>
      <c r="G11" s="117"/>
      <c r="H11" s="52"/>
      <c r="I11" s="52"/>
      <c r="J11" s="52"/>
      <c r="K11" s="140" t="s">
        <v>7</v>
      </c>
      <c r="L11" s="140"/>
      <c r="M11" s="138" t="s">
        <v>58</v>
      </c>
      <c r="N11" s="138"/>
      <c r="O11" s="138"/>
      <c r="P11" s="138"/>
      <c r="Q11" s="138"/>
      <c r="R11" s="138"/>
      <c r="S11" s="138"/>
      <c r="T11" s="138"/>
      <c r="U11" s="15"/>
      <c r="V11" s="4"/>
      <c r="W11" s="73"/>
    </row>
    <row r="12" spans="2:23" ht="15.75" customHeight="1" x14ac:dyDescent="0.25">
      <c r="B12" s="14"/>
      <c r="C12" s="22" t="s">
        <v>8</v>
      </c>
      <c r="D12" s="117" t="s">
        <v>64</v>
      </c>
      <c r="E12" s="117"/>
      <c r="F12" s="117"/>
      <c r="G12" s="117"/>
      <c r="H12" s="52"/>
      <c r="I12" s="52"/>
      <c r="J12" s="52"/>
      <c r="K12" s="140" t="s">
        <v>9</v>
      </c>
      <c r="L12" s="140"/>
      <c r="M12" s="138" t="str">
        <f>D11</f>
        <v>FT-7145B-01</v>
      </c>
      <c r="N12" s="138"/>
      <c r="O12" s="138"/>
      <c r="P12" s="138"/>
      <c r="Q12" s="138"/>
      <c r="R12" s="138"/>
      <c r="S12" s="138"/>
      <c r="T12" s="138"/>
      <c r="U12" s="15"/>
      <c r="V12" s="4"/>
      <c r="W12" s="73"/>
    </row>
    <row r="13" spans="2:23" ht="15.75" x14ac:dyDescent="0.25">
      <c r="B13" s="14"/>
      <c r="C13" s="22" t="s">
        <v>10</v>
      </c>
      <c r="D13" s="117" t="s">
        <v>65</v>
      </c>
      <c r="E13" s="117"/>
      <c r="F13" s="117"/>
      <c r="G13" s="117"/>
      <c r="H13" s="52"/>
      <c r="I13" s="52"/>
      <c r="J13" s="52"/>
      <c r="K13" s="141" t="s">
        <v>11</v>
      </c>
      <c r="L13" s="141"/>
      <c r="M13" s="138">
        <v>9013404</v>
      </c>
      <c r="N13" s="138"/>
      <c r="O13" s="138"/>
      <c r="P13" s="138"/>
      <c r="Q13" s="138"/>
      <c r="R13" s="138"/>
      <c r="S13" s="138"/>
      <c r="T13" s="138"/>
      <c r="U13" s="15"/>
      <c r="V13" s="4"/>
      <c r="W13" s="73"/>
    </row>
    <row r="14" spans="2:23" ht="15.75" x14ac:dyDescent="0.25">
      <c r="B14" s="10"/>
      <c r="C14" s="22" t="s">
        <v>44</v>
      </c>
      <c r="D14" s="116">
        <v>46137</v>
      </c>
      <c r="E14" s="116"/>
      <c r="F14" s="116"/>
      <c r="G14" s="116"/>
      <c r="H14" s="52"/>
      <c r="I14" s="52"/>
      <c r="J14" s="52"/>
      <c r="K14" s="140" t="s">
        <v>12</v>
      </c>
      <c r="L14" s="140"/>
      <c r="M14" s="139" t="s">
        <v>68</v>
      </c>
      <c r="N14" s="139"/>
      <c r="O14" s="139"/>
      <c r="P14" s="139"/>
      <c r="Q14" s="139"/>
      <c r="R14" s="139"/>
      <c r="S14" s="139"/>
      <c r="T14" s="139"/>
      <c r="U14" s="11"/>
      <c r="V14" s="1"/>
      <c r="W14" s="72"/>
    </row>
    <row r="15" spans="2:23" ht="15.75" customHeight="1" x14ac:dyDescent="0.25">
      <c r="B15" s="5"/>
      <c r="C15" s="22" t="s">
        <v>13</v>
      </c>
      <c r="D15" s="117" t="s">
        <v>57</v>
      </c>
      <c r="E15" s="117"/>
      <c r="F15" s="117"/>
      <c r="G15" s="117"/>
      <c r="H15" s="52"/>
      <c r="I15" s="52"/>
      <c r="J15" s="52"/>
      <c r="K15" s="140" t="s">
        <v>14</v>
      </c>
      <c r="L15" s="140"/>
      <c r="M15" s="138" t="s">
        <v>69</v>
      </c>
      <c r="N15" s="138"/>
      <c r="O15" s="138"/>
      <c r="P15" s="138"/>
      <c r="Q15" s="138"/>
      <c r="R15" s="138"/>
      <c r="S15" s="138"/>
      <c r="T15" s="138"/>
      <c r="U15" s="6"/>
    </row>
    <row r="16" spans="2:23" ht="15.75" thickBot="1" x14ac:dyDescent="0.3">
      <c r="B16" s="5"/>
      <c r="U16" s="6"/>
    </row>
    <row r="17" spans="2:23" ht="19.5" thickBot="1" x14ac:dyDescent="0.3">
      <c r="B17" s="5"/>
      <c r="C17" s="128" t="s">
        <v>15</v>
      </c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30"/>
      <c r="U17" s="16"/>
      <c r="V17" s="34"/>
    </row>
    <row r="18" spans="2:23" x14ac:dyDescent="0.25">
      <c r="B18" s="5"/>
      <c r="U18" s="6"/>
    </row>
    <row r="19" spans="2:23" x14ac:dyDescent="0.25">
      <c r="B19" s="5"/>
      <c r="C19" s="24" t="s">
        <v>16</v>
      </c>
      <c r="D19" s="181">
        <v>70.3</v>
      </c>
      <c r="E19" s="181"/>
      <c r="F19" s="24" t="s">
        <v>17</v>
      </c>
      <c r="U19" s="6"/>
    </row>
    <row r="20" spans="2:23" ht="15.75" thickBot="1" x14ac:dyDescent="0.3">
      <c r="B20" s="5"/>
      <c r="U20" s="6"/>
      <c r="V20" s="56"/>
    </row>
    <row r="21" spans="2:23" ht="15.75" thickBot="1" x14ac:dyDescent="0.3">
      <c r="B21" s="5"/>
      <c r="C21" s="131" t="s">
        <v>18</v>
      </c>
      <c r="D21" s="132"/>
      <c r="E21" s="133" t="s">
        <v>19</v>
      </c>
      <c r="F21" s="132"/>
      <c r="G21" s="134" t="s">
        <v>61</v>
      </c>
      <c r="H21" s="135"/>
      <c r="I21" s="161" t="s">
        <v>62</v>
      </c>
      <c r="J21" s="135"/>
      <c r="K21" s="134" t="s">
        <v>20</v>
      </c>
      <c r="L21" s="135"/>
      <c r="M21" s="133" t="s">
        <v>21</v>
      </c>
      <c r="N21" s="132"/>
      <c r="O21" s="133" t="s">
        <v>22</v>
      </c>
      <c r="P21" s="132"/>
      <c r="Q21" s="133" t="s">
        <v>23</v>
      </c>
      <c r="R21" s="132"/>
      <c r="S21" s="136" t="s">
        <v>24</v>
      </c>
      <c r="T21" s="137"/>
      <c r="U21" s="17"/>
      <c r="V21" s="35" t="s">
        <v>59</v>
      </c>
      <c r="W21" s="35" t="s">
        <v>60</v>
      </c>
    </row>
    <row r="22" spans="2:23" x14ac:dyDescent="0.25">
      <c r="B22" s="5"/>
      <c r="C22" s="121">
        <v>440</v>
      </c>
      <c r="D22" s="122"/>
      <c r="E22" s="122">
        <f>IFERROR(($D$19*C22)/3600,"")</f>
        <v>8.5922222222222224</v>
      </c>
      <c r="F22" s="122"/>
      <c r="G22" s="120">
        <v>145953.57</v>
      </c>
      <c r="H22" s="120"/>
      <c r="I22" s="120">
        <v>145713.60999999999</v>
      </c>
      <c r="J22" s="120"/>
      <c r="K22" s="123">
        <v>1.0016499999999999</v>
      </c>
      <c r="L22" s="123"/>
      <c r="M22" s="124">
        <v>-0.16</v>
      </c>
      <c r="N22" s="120"/>
      <c r="O22" s="123">
        <f>IFERROR(ROUND($D$19/K22,5),"")</f>
        <v>70.184200000000004</v>
      </c>
      <c r="P22" s="123"/>
      <c r="Q22" s="120">
        <v>0.15</v>
      </c>
      <c r="R22" s="120"/>
      <c r="S22" s="118" t="str">
        <f>IF(C22="","",
IF(OR($D$12="FISCAL",$D$12="TRANSFERÊNCIA DE CUSTÓDIA"),IF(ABS(M22)&gt;0.2,"REPROVADO","APROVADO"),
IF(ABS(M22)&gt;0.6,"REPROVADO","APROVADO")))</f>
        <v>APROVADO</v>
      </c>
      <c r="T22" s="119"/>
      <c r="U22" s="18"/>
      <c r="V22" s="61">
        <f>LEN(O22)-1</f>
        <v>6</v>
      </c>
      <c r="W22" s="74">
        <f>(G22/I22)-K22</f>
        <v>-3.2080496803477132E-6</v>
      </c>
    </row>
    <row r="23" spans="2:23" x14ac:dyDescent="0.25">
      <c r="B23" s="5"/>
      <c r="C23" s="96">
        <v>530</v>
      </c>
      <c r="D23" s="95"/>
      <c r="E23" s="95">
        <f t="shared" ref="E23:E41" si="0">IFERROR(($D$19*C23)/3600,"")</f>
        <v>10.349722222222223</v>
      </c>
      <c r="F23" s="95"/>
      <c r="G23" s="99">
        <v>145925.9</v>
      </c>
      <c r="H23" s="99"/>
      <c r="I23" s="99">
        <v>145765.76999999999</v>
      </c>
      <c r="J23" s="99"/>
      <c r="K23" s="100">
        <v>1.0011000000000001</v>
      </c>
      <c r="L23" s="100"/>
      <c r="M23" s="101">
        <v>-0.11</v>
      </c>
      <c r="N23" s="99"/>
      <c r="O23" s="102">
        <f t="shared" ref="O23:O31" si="1">IFERROR(ROUND($D$19/K23,5),"")</f>
        <v>70.222750000000005</v>
      </c>
      <c r="P23" s="103"/>
      <c r="Q23" s="99">
        <v>0.15</v>
      </c>
      <c r="R23" s="99"/>
      <c r="S23" s="104" t="str">
        <f t="shared" ref="S23:S40" si="2">IF(C23="","",
IF(OR($D$12="FISCAL",$D$12="TRANSFERÊNCIA DE CUSTÓDIA"),IF(ABS(M23)&gt;0.2,"REPROVADO","APROVADO"),
IF(ABS(M23)&gt;0.6,"REPROVADO","APROVADO")))</f>
        <v>APROVADO</v>
      </c>
      <c r="T23" s="105"/>
      <c r="U23" s="18"/>
      <c r="V23" s="61">
        <f t="shared" ref="V23:V41" si="3">LEN(O23)-1</f>
        <v>7</v>
      </c>
      <c r="W23" s="74">
        <f t="shared" ref="W23:W31" si="4">(G23/I23)-K23</f>
        <v>-1.45676862284283E-6</v>
      </c>
    </row>
    <row r="24" spans="2:23" x14ac:dyDescent="0.25">
      <c r="B24" s="5"/>
      <c r="C24" s="96">
        <v>640</v>
      </c>
      <c r="D24" s="95"/>
      <c r="E24" s="95">
        <f t="shared" si="0"/>
        <v>12.497777777777777</v>
      </c>
      <c r="F24" s="95"/>
      <c r="G24" s="99">
        <v>291858.88</v>
      </c>
      <c r="H24" s="99"/>
      <c r="I24" s="99">
        <v>291631.09999999998</v>
      </c>
      <c r="J24" s="99"/>
      <c r="K24" s="100">
        <v>1.00078</v>
      </c>
      <c r="L24" s="100"/>
      <c r="M24" s="101">
        <v>-0.08</v>
      </c>
      <c r="N24" s="99"/>
      <c r="O24" s="102">
        <f t="shared" si="1"/>
        <v>70.24521</v>
      </c>
      <c r="P24" s="103"/>
      <c r="Q24" s="99">
        <v>0.15</v>
      </c>
      <c r="R24" s="99"/>
      <c r="S24" s="104" t="str">
        <f t="shared" si="2"/>
        <v>APROVADO</v>
      </c>
      <c r="T24" s="105"/>
      <c r="U24" s="18"/>
      <c r="V24" s="61">
        <f t="shared" si="3"/>
        <v>7</v>
      </c>
      <c r="W24" s="74">
        <f t="shared" si="4"/>
        <v>1.0552441080946551E-6</v>
      </c>
    </row>
    <row r="25" spans="2:23" x14ac:dyDescent="0.25">
      <c r="B25" s="5"/>
      <c r="C25" s="96">
        <v>780</v>
      </c>
      <c r="D25" s="95"/>
      <c r="E25" s="95">
        <f t="shared" si="0"/>
        <v>15.231666666666667</v>
      </c>
      <c r="F25" s="95"/>
      <c r="G25" s="99">
        <v>291805.28000000003</v>
      </c>
      <c r="H25" s="99"/>
      <c r="I25" s="99">
        <v>291863.44</v>
      </c>
      <c r="J25" s="99"/>
      <c r="K25" s="100">
        <v>0.99980000000000002</v>
      </c>
      <c r="L25" s="100"/>
      <c r="M25" s="101">
        <v>0.02</v>
      </c>
      <c r="N25" s="99"/>
      <c r="O25" s="102">
        <f t="shared" si="1"/>
        <v>70.314059999999998</v>
      </c>
      <c r="P25" s="103"/>
      <c r="Q25" s="99">
        <v>0.15</v>
      </c>
      <c r="R25" s="99"/>
      <c r="S25" s="104" t="str">
        <f t="shared" si="2"/>
        <v>APROVADO</v>
      </c>
      <c r="T25" s="105"/>
      <c r="U25" s="18"/>
      <c r="V25" s="61">
        <f t="shared" si="3"/>
        <v>7</v>
      </c>
      <c r="W25" s="74">
        <f t="shared" si="4"/>
        <v>7.2872436518434114E-7</v>
      </c>
    </row>
    <row r="26" spans="2:23" x14ac:dyDescent="0.25">
      <c r="B26" s="5"/>
      <c r="C26" s="96">
        <v>950</v>
      </c>
      <c r="D26" s="95"/>
      <c r="E26" s="95">
        <f t="shared" si="0"/>
        <v>18.551388888888887</v>
      </c>
      <c r="F26" s="95"/>
      <c r="G26" s="99">
        <v>291750.56</v>
      </c>
      <c r="H26" s="99"/>
      <c r="I26" s="99">
        <v>291872.93</v>
      </c>
      <c r="J26" s="99"/>
      <c r="K26" s="100">
        <v>0.99958000000000002</v>
      </c>
      <c r="L26" s="100"/>
      <c r="M26" s="101">
        <v>0.04</v>
      </c>
      <c r="N26" s="99"/>
      <c r="O26" s="102">
        <f t="shared" si="1"/>
        <v>70.329539999999994</v>
      </c>
      <c r="P26" s="103"/>
      <c r="Q26" s="99">
        <v>0.15</v>
      </c>
      <c r="R26" s="99"/>
      <c r="S26" s="104" t="str">
        <f t="shared" si="2"/>
        <v>APROVADO</v>
      </c>
      <c r="T26" s="105"/>
      <c r="U26" s="18"/>
      <c r="V26" s="61">
        <f t="shared" si="3"/>
        <v>7</v>
      </c>
      <c r="W26" s="74">
        <f t="shared" si="4"/>
        <v>7.4220860424301094E-7</v>
      </c>
    </row>
    <row r="27" spans="2:23" x14ac:dyDescent="0.25">
      <c r="B27" s="5"/>
      <c r="C27" s="96">
        <v>1160</v>
      </c>
      <c r="D27" s="95"/>
      <c r="E27" s="95">
        <f t="shared" si="0"/>
        <v>22.652222222222221</v>
      </c>
      <c r="F27" s="95"/>
      <c r="G27" s="99">
        <v>291644.07</v>
      </c>
      <c r="H27" s="99"/>
      <c r="I27" s="99">
        <v>291778.09000000003</v>
      </c>
      <c r="J27" s="99"/>
      <c r="K27" s="100">
        <v>0.99953999999999998</v>
      </c>
      <c r="L27" s="100"/>
      <c r="M27" s="101">
        <v>0.05</v>
      </c>
      <c r="N27" s="99"/>
      <c r="O27" s="102">
        <f t="shared" si="1"/>
        <v>70.332350000000005</v>
      </c>
      <c r="P27" s="103"/>
      <c r="Q27" s="99">
        <v>0.15</v>
      </c>
      <c r="R27" s="99"/>
      <c r="S27" s="104" t="str">
        <f t="shared" si="2"/>
        <v>APROVADO</v>
      </c>
      <c r="T27" s="105"/>
      <c r="U27" s="18"/>
      <c r="V27" s="61">
        <f t="shared" si="3"/>
        <v>7</v>
      </c>
      <c r="W27" s="74">
        <f t="shared" si="4"/>
        <v>6.7832852013172129E-7</v>
      </c>
    </row>
    <row r="28" spans="2:23" x14ac:dyDescent="0.25">
      <c r="B28" s="5"/>
      <c r="C28" s="96">
        <v>1400</v>
      </c>
      <c r="D28" s="95"/>
      <c r="E28" s="95">
        <f t="shared" si="0"/>
        <v>27.338888888888889</v>
      </c>
      <c r="F28" s="95"/>
      <c r="G28" s="97">
        <v>444736.19</v>
      </c>
      <c r="H28" s="98"/>
      <c r="I28" s="99">
        <v>445234.71</v>
      </c>
      <c r="J28" s="99"/>
      <c r="K28" s="100">
        <v>0.99887999999999999</v>
      </c>
      <c r="L28" s="100"/>
      <c r="M28" s="101">
        <v>0.11</v>
      </c>
      <c r="N28" s="99"/>
      <c r="O28" s="102">
        <f t="shared" si="1"/>
        <v>70.378820000000005</v>
      </c>
      <c r="P28" s="103"/>
      <c r="Q28" s="99">
        <v>0.15</v>
      </c>
      <c r="R28" s="99"/>
      <c r="S28" s="104" t="str">
        <f t="shared" si="2"/>
        <v>APROVADO</v>
      </c>
      <c r="T28" s="105"/>
      <c r="U28" s="18"/>
      <c r="V28" s="61">
        <f t="shared" si="3"/>
        <v>7</v>
      </c>
      <c r="W28" s="74">
        <f t="shared" si="4"/>
        <v>3.2089861090600635E-7</v>
      </c>
    </row>
    <row r="29" spans="2:23" x14ac:dyDescent="0.25">
      <c r="B29" s="5"/>
      <c r="C29" s="96">
        <v>1700</v>
      </c>
      <c r="D29" s="95"/>
      <c r="E29" s="95">
        <f t="shared" si="0"/>
        <v>33.197222222222223</v>
      </c>
      <c r="F29" s="95"/>
      <c r="G29" s="97">
        <v>443800.32000000001</v>
      </c>
      <c r="H29" s="98"/>
      <c r="I29" s="99">
        <v>444324.32</v>
      </c>
      <c r="J29" s="99"/>
      <c r="K29" s="100">
        <v>0.99882000000000004</v>
      </c>
      <c r="L29" s="100"/>
      <c r="M29" s="101">
        <v>0.12</v>
      </c>
      <c r="N29" s="99"/>
      <c r="O29" s="102">
        <f t="shared" si="1"/>
        <v>70.383049999999997</v>
      </c>
      <c r="P29" s="103"/>
      <c r="Q29" s="99">
        <v>0.15</v>
      </c>
      <c r="R29" s="99"/>
      <c r="S29" s="104" t="str">
        <f t="shared" si="2"/>
        <v>APROVADO</v>
      </c>
      <c r="T29" s="105"/>
      <c r="U29" s="18"/>
      <c r="V29" s="61">
        <f t="shared" si="3"/>
        <v>7</v>
      </c>
      <c r="W29" s="74">
        <f t="shared" si="4"/>
        <v>6.8125372920668781E-7</v>
      </c>
    </row>
    <row r="30" spans="2:23" x14ac:dyDescent="0.25">
      <c r="B30" s="5"/>
      <c r="C30" s="96">
        <v>2060</v>
      </c>
      <c r="D30" s="95"/>
      <c r="E30" s="95">
        <f>IFERROR(($D$19*C30)/3600,"")</f>
        <v>40.227222222222224</v>
      </c>
      <c r="F30" s="95"/>
      <c r="G30" s="97">
        <v>443872.38</v>
      </c>
      <c r="H30" s="98"/>
      <c r="I30" s="99">
        <v>444495.02</v>
      </c>
      <c r="J30" s="99"/>
      <c r="K30" s="100">
        <v>0.99860000000000004</v>
      </c>
      <c r="L30" s="100"/>
      <c r="M30" s="101">
        <v>0.14000000000000001</v>
      </c>
      <c r="N30" s="99"/>
      <c r="O30" s="102">
        <f t="shared" si="1"/>
        <v>70.398560000000003</v>
      </c>
      <c r="P30" s="103"/>
      <c r="Q30" s="99">
        <v>0.15</v>
      </c>
      <c r="R30" s="99"/>
      <c r="S30" s="104" t="str">
        <f t="shared" si="2"/>
        <v>APROVADO</v>
      </c>
      <c r="T30" s="105"/>
      <c r="U30" s="18"/>
      <c r="V30" s="61">
        <f t="shared" si="3"/>
        <v>7</v>
      </c>
      <c r="W30" s="74">
        <f t="shared" si="4"/>
        <v>-7.8059817187892122E-7</v>
      </c>
    </row>
    <row r="31" spans="2:23" ht="15.75" thickBot="1" x14ac:dyDescent="0.3">
      <c r="B31" s="5"/>
      <c r="C31" s="199">
        <v>2500</v>
      </c>
      <c r="D31" s="106"/>
      <c r="E31" s="106">
        <f t="shared" si="0"/>
        <v>48.819444444444443</v>
      </c>
      <c r="F31" s="106"/>
      <c r="G31" s="107">
        <v>442423.01</v>
      </c>
      <c r="H31" s="108"/>
      <c r="I31" s="109">
        <v>443176.86</v>
      </c>
      <c r="J31" s="109"/>
      <c r="K31" s="110">
        <v>0.99829999999999997</v>
      </c>
      <c r="L31" s="110"/>
      <c r="M31" s="111">
        <v>0.17</v>
      </c>
      <c r="N31" s="109"/>
      <c r="O31" s="112">
        <f t="shared" si="1"/>
        <v>70.419709999999995</v>
      </c>
      <c r="P31" s="113"/>
      <c r="Q31" s="109">
        <v>0.15</v>
      </c>
      <c r="R31" s="109"/>
      <c r="S31" s="114" t="str">
        <f t="shared" si="2"/>
        <v>APROVADO</v>
      </c>
      <c r="T31" s="115"/>
      <c r="U31" s="18"/>
      <c r="V31" s="61">
        <f t="shared" si="3"/>
        <v>7</v>
      </c>
      <c r="W31" s="74">
        <f t="shared" si="4"/>
        <v>-1.0139022149635579E-6</v>
      </c>
    </row>
    <row r="32" spans="2:23" ht="15" hidden="1" customHeight="1" x14ac:dyDescent="0.25">
      <c r="B32" s="5"/>
      <c r="C32" s="177"/>
      <c r="D32" s="86"/>
      <c r="E32" s="178">
        <f t="shared" si="0"/>
        <v>0</v>
      </c>
      <c r="F32" s="179"/>
      <c r="G32" s="193"/>
      <c r="H32" s="194"/>
      <c r="I32" s="145"/>
      <c r="J32" s="146"/>
      <c r="K32" s="143" t="str">
        <f t="shared" ref="K32:K41" si="5">IFERROR(G32/I32,"")</f>
        <v/>
      </c>
      <c r="L32" s="144"/>
      <c r="M32" s="85"/>
      <c r="N32" s="86"/>
      <c r="O32" s="143" t="str">
        <f>IFERROR(ROUND($D$19/K32,5),"")</f>
        <v/>
      </c>
      <c r="P32" s="144"/>
      <c r="Q32" s="89"/>
      <c r="R32" s="90"/>
      <c r="S32" s="91" t="str">
        <f t="shared" si="2"/>
        <v/>
      </c>
      <c r="T32" s="92"/>
      <c r="U32" s="18"/>
      <c r="V32" s="61">
        <f t="shared" si="3"/>
        <v>-1</v>
      </c>
    </row>
    <row r="33" spans="2:22" ht="15" hidden="1" customHeight="1" x14ac:dyDescent="0.25">
      <c r="B33" s="5"/>
      <c r="C33" s="147"/>
      <c r="D33" s="148"/>
      <c r="E33" s="149">
        <f t="shared" si="0"/>
        <v>0</v>
      </c>
      <c r="F33" s="150"/>
      <c r="G33" s="195"/>
      <c r="H33" s="196"/>
      <c r="I33" s="93"/>
      <c r="J33" s="94"/>
      <c r="K33" s="87" t="str">
        <f t="shared" si="5"/>
        <v/>
      </c>
      <c r="L33" s="88"/>
      <c r="M33" s="85"/>
      <c r="N33" s="86"/>
      <c r="O33" s="87" t="str">
        <f t="shared" ref="O33:O41" si="6">IFERROR(ROUND($D$19/K33,5),"")</f>
        <v/>
      </c>
      <c r="P33" s="88"/>
      <c r="Q33" s="89"/>
      <c r="R33" s="90"/>
      <c r="S33" s="91" t="str">
        <f t="shared" si="2"/>
        <v/>
      </c>
      <c r="T33" s="92"/>
      <c r="U33" s="18"/>
      <c r="V33" s="61">
        <f t="shared" si="3"/>
        <v>-1</v>
      </c>
    </row>
    <row r="34" spans="2:22" ht="15" hidden="1" customHeight="1" x14ac:dyDescent="0.25">
      <c r="B34" s="5"/>
      <c r="C34" s="147"/>
      <c r="D34" s="148"/>
      <c r="E34" s="149">
        <f t="shared" si="0"/>
        <v>0</v>
      </c>
      <c r="F34" s="150"/>
      <c r="G34" s="195"/>
      <c r="H34" s="196"/>
      <c r="I34" s="185"/>
      <c r="J34" s="186"/>
      <c r="K34" s="87" t="str">
        <f t="shared" si="5"/>
        <v/>
      </c>
      <c r="L34" s="88"/>
      <c r="M34" s="85"/>
      <c r="N34" s="86"/>
      <c r="O34" s="87" t="str">
        <f t="shared" si="6"/>
        <v/>
      </c>
      <c r="P34" s="88"/>
      <c r="Q34" s="89"/>
      <c r="R34" s="90"/>
      <c r="S34" s="91" t="str">
        <f t="shared" si="2"/>
        <v/>
      </c>
      <c r="T34" s="92"/>
      <c r="U34" s="18"/>
      <c r="V34" s="61">
        <f t="shared" si="3"/>
        <v>-1</v>
      </c>
    </row>
    <row r="35" spans="2:22" ht="15" hidden="1" customHeight="1" x14ac:dyDescent="0.25">
      <c r="B35" s="5"/>
      <c r="C35" s="147"/>
      <c r="D35" s="148"/>
      <c r="E35" s="149">
        <f t="shared" si="0"/>
        <v>0</v>
      </c>
      <c r="F35" s="150"/>
      <c r="G35" s="195"/>
      <c r="H35" s="196"/>
      <c r="I35" s="185"/>
      <c r="J35" s="186"/>
      <c r="K35" s="87" t="str">
        <f t="shared" si="5"/>
        <v/>
      </c>
      <c r="L35" s="88"/>
      <c r="M35" s="85"/>
      <c r="N35" s="86"/>
      <c r="O35" s="87" t="str">
        <f t="shared" si="6"/>
        <v/>
      </c>
      <c r="P35" s="88"/>
      <c r="Q35" s="89"/>
      <c r="R35" s="90"/>
      <c r="S35" s="91" t="str">
        <f t="shared" si="2"/>
        <v/>
      </c>
      <c r="T35" s="92"/>
      <c r="U35" s="18"/>
      <c r="V35" s="61">
        <f t="shared" si="3"/>
        <v>-1</v>
      </c>
    </row>
    <row r="36" spans="2:22" ht="15" hidden="1" customHeight="1" x14ac:dyDescent="0.25">
      <c r="B36" s="5"/>
      <c r="C36" s="147"/>
      <c r="D36" s="148"/>
      <c r="E36" s="149">
        <f t="shared" si="0"/>
        <v>0</v>
      </c>
      <c r="F36" s="150"/>
      <c r="G36" s="195"/>
      <c r="H36" s="196"/>
      <c r="I36" s="185"/>
      <c r="J36" s="186"/>
      <c r="K36" s="87" t="str">
        <f t="shared" si="5"/>
        <v/>
      </c>
      <c r="L36" s="88"/>
      <c r="M36" s="85"/>
      <c r="N36" s="86"/>
      <c r="O36" s="87" t="str">
        <f t="shared" si="6"/>
        <v/>
      </c>
      <c r="P36" s="88"/>
      <c r="Q36" s="89"/>
      <c r="R36" s="90"/>
      <c r="S36" s="91" t="str">
        <f t="shared" si="2"/>
        <v/>
      </c>
      <c r="T36" s="92"/>
      <c r="U36" s="18"/>
      <c r="V36" s="61">
        <f t="shared" si="3"/>
        <v>-1</v>
      </c>
    </row>
    <row r="37" spans="2:22" ht="15" hidden="1" customHeight="1" x14ac:dyDescent="0.25">
      <c r="B37" s="5"/>
      <c r="C37" s="147"/>
      <c r="D37" s="148"/>
      <c r="E37" s="149">
        <f t="shared" si="0"/>
        <v>0</v>
      </c>
      <c r="F37" s="150"/>
      <c r="G37" s="195"/>
      <c r="H37" s="196"/>
      <c r="I37" s="185"/>
      <c r="J37" s="186"/>
      <c r="K37" s="87" t="str">
        <f t="shared" si="5"/>
        <v/>
      </c>
      <c r="L37" s="88"/>
      <c r="M37" s="85"/>
      <c r="N37" s="86"/>
      <c r="O37" s="87" t="str">
        <f t="shared" si="6"/>
        <v/>
      </c>
      <c r="P37" s="88"/>
      <c r="Q37" s="89"/>
      <c r="R37" s="90"/>
      <c r="S37" s="91" t="str">
        <f t="shared" si="2"/>
        <v/>
      </c>
      <c r="T37" s="92"/>
      <c r="U37" s="18"/>
      <c r="V37" s="61">
        <f t="shared" si="3"/>
        <v>-1</v>
      </c>
    </row>
    <row r="38" spans="2:22" ht="15" hidden="1" customHeight="1" x14ac:dyDescent="0.25">
      <c r="B38" s="5"/>
      <c r="C38" s="147"/>
      <c r="D38" s="148"/>
      <c r="E38" s="149">
        <f t="shared" si="0"/>
        <v>0</v>
      </c>
      <c r="F38" s="150"/>
      <c r="G38" s="195"/>
      <c r="H38" s="196"/>
      <c r="I38" s="185"/>
      <c r="J38" s="186"/>
      <c r="K38" s="87" t="str">
        <f t="shared" si="5"/>
        <v/>
      </c>
      <c r="L38" s="88"/>
      <c r="M38" s="85"/>
      <c r="N38" s="86"/>
      <c r="O38" s="87" t="str">
        <f t="shared" si="6"/>
        <v/>
      </c>
      <c r="P38" s="88"/>
      <c r="Q38" s="89"/>
      <c r="R38" s="90"/>
      <c r="S38" s="91" t="str">
        <f t="shared" si="2"/>
        <v/>
      </c>
      <c r="T38" s="92"/>
      <c r="U38" s="18"/>
      <c r="V38" s="61">
        <f t="shared" si="3"/>
        <v>-1</v>
      </c>
    </row>
    <row r="39" spans="2:22" ht="15" hidden="1" customHeight="1" x14ac:dyDescent="0.25">
      <c r="B39" s="5"/>
      <c r="C39" s="147"/>
      <c r="D39" s="148"/>
      <c r="E39" s="149">
        <f t="shared" si="0"/>
        <v>0</v>
      </c>
      <c r="F39" s="150"/>
      <c r="G39" s="195"/>
      <c r="H39" s="196"/>
      <c r="I39" s="185"/>
      <c r="J39" s="186"/>
      <c r="K39" s="87" t="str">
        <f t="shared" si="5"/>
        <v/>
      </c>
      <c r="L39" s="88"/>
      <c r="M39" s="85"/>
      <c r="N39" s="86"/>
      <c r="O39" s="87" t="str">
        <f t="shared" si="6"/>
        <v/>
      </c>
      <c r="P39" s="88"/>
      <c r="Q39" s="89"/>
      <c r="R39" s="90"/>
      <c r="S39" s="91" t="str">
        <f t="shared" si="2"/>
        <v/>
      </c>
      <c r="T39" s="92"/>
      <c r="U39" s="18"/>
      <c r="V39" s="61">
        <f t="shared" si="3"/>
        <v>-1</v>
      </c>
    </row>
    <row r="40" spans="2:22" ht="15" hidden="1" customHeight="1" x14ac:dyDescent="0.25">
      <c r="B40" s="5"/>
      <c r="C40" s="147"/>
      <c r="D40" s="148"/>
      <c r="E40" s="149">
        <f t="shared" si="0"/>
        <v>0</v>
      </c>
      <c r="F40" s="150"/>
      <c r="G40" s="195"/>
      <c r="H40" s="196"/>
      <c r="I40" s="185"/>
      <c r="J40" s="186"/>
      <c r="K40" s="87" t="str">
        <f t="shared" si="5"/>
        <v/>
      </c>
      <c r="L40" s="88"/>
      <c r="M40" s="85"/>
      <c r="N40" s="86"/>
      <c r="O40" s="87" t="str">
        <f t="shared" si="6"/>
        <v/>
      </c>
      <c r="P40" s="88"/>
      <c r="Q40" s="89"/>
      <c r="R40" s="90"/>
      <c r="S40" s="91" t="str">
        <f t="shared" si="2"/>
        <v/>
      </c>
      <c r="T40" s="92"/>
      <c r="U40" s="18"/>
      <c r="V40" s="61">
        <f t="shared" si="3"/>
        <v>-1</v>
      </c>
    </row>
    <row r="41" spans="2:22" ht="15.75" hidden="1" thickBot="1" x14ac:dyDescent="0.3">
      <c r="B41" s="5"/>
      <c r="C41" s="187"/>
      <c r="D41" s="188"/>
      <c r="E41" s="189">
        <f t="shared" si="0"/>
        <v>0</v>
      </c>
      <c r="F41" s="190"/>
      <c r="G41" s="197"/>
      <c r="H41" s="198"/>
      <c r="I41" s="175"/>
      <c r="J41" s="176"/>
      <c r="K41" s="169" t="str">
        <f t="shared" si="5"/>
        <v/>
      </c>
      <c r="L41" s="170"/>
      <c r="M41" s="191"/>
      <c r="N41" s="192"/>
      <c r="O41" s="169" t="str">
        <f t="shared" si="6"/>
        <v/>
      </c>
      <c r="P41" s="170"/>
      <c r="Q41" s="171"/>
      <c r="R41" s="172"/>
      <c r="S41" s="173" t="str">
        <f>IF(C41="","",
IF(OR($D$12="FISCAL",$D$12="TRANSFERÊNCIA DE CUSTÓDIA"),IF(ABS(M41)&gt;0.2,"REPROVADO","APROVADO"),
IF(ABS(M41)&gt;0.6,"REPROVADO","APROVADO")))</f>
        <v/>
      </c>
      <c r="T41" s="174"/>
      <c r="U41" s="18"/>
      <c r="V41" s="61">
        <f t="shared" si="3"/>
        <v>-1</v>
      </c>
    </row>
    <row r="42" spans="2:22" ht="15.75" thickBot="1" x14ac:dyDescent="0.3">
      <c r="B42" s="5"/>
      <c r="U42" s="6"/>
    </row>
    <row r="43" spans="2:22" ht="19.5" thickBot="1" x14ac:dyDescent="0.3">
      <c r="B43" s="5"/>
      <c r="C43" s="128" t="s">
        <v>25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30"/>
      <c r="U43" s="6"/>
    </row>
    <row r="44" spans="2:22" x14ac:dyDescent="0.25">
      <c r="B44" s="5"/>
      <c r="U44" s="6"/>
    </row>
    <row r="45" spans="2:22" x14ac:dyDescent="0.25">
      <c r="B45" s="5"/>
      <c r="C45" s="160" t="s">
        <v>72</v>
      </c>
      <c r="D45" s="160"/>
      <c r="E45" s="160"/>
      <c r="F45" s="160"/>
      <c r="G45" s="19"/>
      <c r="H45" s="19"/>
      <c r="I45" s="160" t="s">
        <v>53</v>
      </c>
      <c r="J45" s="160"/>
      <c r="K45" s="160"/>
      <c r="L45" s="160"/>
      <c r="M45" s="160" t="s">
        <v>52</v>
      </c>
      <c r="N45" s="160"/>
      <c r="O45" s="160"/>
      <c r="P45" s="160"/>
      <c r="U45" s="6"/>
    </row>
    <row r="46" spans="2:22" x14ac:dyDescent="0.25">
      <c r="B46" s="5"/>
      <c r="U46" s="6"/>
    </row>
    <row r="47" spans="2:22" x14ac:dyDescent="0.25">
      <c r="B47" s="5"/>
      <c r="C47" s="2" t="s">
        <v>56</v>
      </c>
      <c r="I47" s="2" t="s">
        <v>55</v>
      </c>
      <c r="M47" s="2" t="s">
        <v>54</v>
      </c>
      <c r="U47" s="6"/>
    </row>
    <row r="48" spans="2:22" x14ac:dyDescent="0.25">
      <c r="B48" s="5"/>
      <c r="C48" s="2" t="s">
        <v>26</v>
      </c>
      <c r="I48" s="2" t="s">
        <v>40</v>
      </c>
      <c r="M48" s="2" t="s">
        <v>27</v>
      </c>
      <c r="U48" s="6"/>
    </row>
    <row r="49" spans="2:21 16383:16384" x14ac:dyDescent="0.25">
      <c r="B49" s="5"/>
      <c r="C49" s="2" t="s">
        <v>28</v>
      </c>
      <c r="I49" s="2" t="s">
        <v>41</v>
      </c>
      <c r="M49" s="2" t="s">
        <v>29</v>
      </c>
      <c r="U49" s="6"/>
    </row>
    <row r="50" spans="2:21 16383:16384" x14ac:dyDescent="0.25">
      <c r="B50" s="5"/>
      <c r="C50" s="2" t="s">
        <v>30</v>
      </c>
      <c r="I50" s="180"/>
      <c r="J50" s="180"/>
      <c r="K50" s="180"/>
      <c r="U50" s="6"/>
    </row>
    <row r="51" spans="2:21 16383:16384" ht="15.75" thickBot="1" x14ac:dyDescent="0.3">
      <c r="B51" s="5"/>
      <c r="U51" s="6"/>
    </row>
    <row r="52" spans="2:21 16383:16384" x14ac:dyDescent="0.25">
      <c r="B52" s="5"/>
      <c r="C52" s="162" t="s">
        <v>31</v>
      </c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4"/>
      <c r="U52" s="6"/>
    </row>
    <row r="53" spans="2:21 16383:16384" ht="15.75" thickBot="1" x14ac:dyDescent="0.3">
      <c r="B53" s="5"/>
      <c r="C53" s="165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7"/>
      <c r="U53" s="6"/>
    </row>
    <row r="54" spans="2:21 16383:16384" ht="19.5" thickBot="1" x14ac:dyDescent="0.3">
      <c r="B54" s="5"/>
      <c r="C54" s="26"/>
      <c r="D54" s="26"/>
      <c r="E54" s="26"/>
      <c r="F54" s="26"/>
      <c r="G54" s="26"/>
      <c r="H54" s="26"/>
      <c r="I54" s="25"/>
      <c r="J54" s="25"/>
      <c r="K54" s="25"/>
      <c r="L54" s="25"/>
      <c r="M54" s="25"/>
      <c r="N54" s="26"/>
      <c r="O54" s="26"/>
      <c r="P54" s="26"/>
      <c r="Q54" s="26"/>
      <c r="R54" s="26"/>
      <c r="S54" s="26"/>
      <c r="T54" s="26"/>
      <c r="U54" s="6"/>
    </row>
    <row r="55" spans="2:21 16383:16384" ht="15.75" thickBot="1" x14ac:dyDescent="0.3">
      <c r="B55" s="5"/>
      <c r="H55" s="70" t="s">
        <v>43</v>
      </c>
      <c r="I55" s="183" t="s">
        <v>18</v>
      </c>
      <c r="J55" s="184"/>
      <c r="K55" s="66" t="s">
        <v>19</v>
      </c>
      <c r="L55" s="183" t="s">
        <v>22</v>
      </c>
      <c r="M55" s="184"/>
      <c r="U55" s="6"/>
    </row>
    <row r="56" spans="2:21 16383:16384" ht="15.75" thickBot="1" x14ac:dyDescent="0.3">
      <c r="B56" s="5"/>
      <c r="H56" s="77">
        <v>1</v>
      </c>
      <c r="I56" s="122">
        <f>IF(C22="","",C22)</f>
        <v>440</v>
      </c>
      <c r="J56" s="122"/>
      <c r="K56" s="78">
        <f>E22</f>
        <v>8.5922222222222224</v>
      </c>
      <c r="L56" s="123">
        <f>IF(O22="","",O22)</f>
        <v>70.184200000000004</v>
      </c>
      <c r="M56" s="182"/>
      <c r="U56" s="6"/>
      <c r="XFC56" s="230" t="s">
        <v>20</v>
      </c>
      <c r="XFD56" s="230"/>
    </row>
    <row r="57" spans="2:21 16383:16384" x14ac:dyDescent="0.25">
      <c r="B57" s="5"/>
      <c r="H57" s="79">
        <v>2</v>
      </c>
      <c r="I57" s="95">
        <f t="shared" ref="I57:I75" si="7">IF(C23="","",C23)</f>
        <v>530</v>
      </c>
      <c r="J57" s="95"/>
      <c r="K57" s="76">
        <f t="shared" ref="K57:K75" si="8">E23</f>
        <v>10.349722222222223</v>
      </c>
      <c r="L57" s="100">
        <f t="shared" ref="L57:L75" si="9">IF(O23="","",O23)</f>
        <v>70.222750000000005</v>
      </c>
      <c r="M57" s="168"/>
      <c r="U57" s="6"/>
      <c r="XFC57" s="227">
        <f>K22</f>
        <v>1.0016499999999999</v>
      </c>
      <c r="XFD57" s="227"/>
    </row>
    <row r="58" spans="2:21 16383:16384" x14ac:dyDescent="0.25">
      <c r="B58" s="5"/>
      <c r="H58" s="79">
        <v>3</v>
      </c>
      <c r="I58" s="95">
        <f t="shared" si="7"/>
        <v>640</v>
      </c>
      <c r="J58" s="95"/>
      <c r="K58" s="76">
        <f t="shared" si="8"/>
        <v>12.497777777777777</v>
      </c>
      <c r="L58" s="100">
        <f t="shared" si="9"/>
        <v>70.24521</v>
      </c>
      <c r="M58" s="168"/>
      <c r="U58" s="6"/>
      <c r="XFC58" s="227">
        <f>K23</f>
        <v>1.0011000000000001</v>
      </c>
      <c r="XFD58" s="227"/>
    </row>
    <row r="59" spans="2:21 16383:16384" x14ac:dyDescent="0.25">
      <c r="B59" s="5"/>
      <c r="H59" s="79">
        <v>4</v>
      </c>
      <c r="I59" s="95">
        <f t="shared" si="7"/>
        <v>780</v>
      </c>
      <c r="J59" s="95"/>
      <c r="K59" s="76">
        <f t="shared" si="8"/>
        <v>15.231666666666667</v>
      </c>
      <c r="L59" s="100">
        <f t="shared" si="9"/>
        <v>70.314059999999998</v>
      </c>
      <c r="M59" s="168"/>
      <c r="U59" s="6"/>
      <c r="XFC59" s="227">
        <f>K24</f>
        <v>1.00078</v>
      </c>
      <c r="XFD59" s="227"/>
    </row>
    <row r="60" spans="2:21 16383:16384" x14ac:dyDescent="0.25">
      <c r="B60" s="5"/>
      <c r="H60" s="79">
        <v>5</v>
      </c>
      <c r="I60" s="95">
        <f t="shared" si="7"/>
        <v>950</v>
      </c>
      <c r="J60" s="95"/>
      <c r="K60" s="76">
        <f t="shared" si="8"/>
        <v>18.551388888888887</v>
      </c>
      <c r="L60" s="100">
        <f t="shared" si="9"/>
        <v>70.329539999999994</v>
      </c>
      <c r="M60" s="168"/>
      <c r="U60" s="6"/>
      <c r="XFC60" s="57"/>
      <c r="XFD60" s="57"/>
    </row>
    <row r="61" spans="2:21 16383:16384" x14ac:dyDescent="0.25">
      <c r="B61" s="5"/>
      <c r="H61" s="79">
        <v>6</v>
      </c>
      <c r="I61" s="95">
        <f t="shared" si="7"/>
        <v>1160</v>
      </c>
      <c r="J61" s="95"/>
      <c r="K61" s="76">
        <f t="shared" si="8"/>
        <v>22.652222222222221</v>
      </c>
      <c r="L61" s="100">
        <f t="shared" si="9"/>
        <v>70.332350000000005</v>
      </c>
      <c r="M61" s="168"/>
      <c r="U61" s="6"/>
      <c r="XFC61" s="57"/>
      <c r="XFD61" s="57"/>
    </row>
    <row r="62" spans="2:21 16383:16384" x14ac:dyDescent="0.25">
      <c r="B62" s="5"/>
      <c r="H62" s="79">
        <v>7</v>
      </c>
      <c r="I62" s="95">
        <f t="shared" si="7"/>
        <v>1400</v>
      </c>
      <c r="J62" s="95"/>
      <c r="K62" s="76">
        <f t="shared" si="8"/>
        <v>27.338888888888889</v>
      </c>
      <c r="L62" s="100">
        <f t="shared" si="9"/>
        <v>70.378820000000005</v>
      </c>
      <c r="M62" s="168"/>
      <c r="U62" s="6"/>
      <c r="XFC62" s="57"/>
      <c r="XFD62" s="57"/>
    </row>
    <row r="63" spans="2:21 16383:16384" x14ac:dyDescent="0.25">
      <c r="B63" s="5"/>
      <c r="H63" s="79">
        <v>8</v>
      </c>
      <c r="I63" s="95">
        <f t="shared" si="7"/>
        <v>1700</v>
      </c>
      <c r="J63" s="95"/>
      <c r="K63" s="76">
        <f t="shared" si="8"/>
        <v>33.197222222222223</v>
      </c>
      <c r="L63" s="100">
        <f t="shared" si="9"/>
        <v>70.383049999999997</v>
      </c>
      <c r="M63" s="168"/>
      <c r="U63" s="6"/>
      <c r="XFC63" s="57"/>
      <c r="XFD63" s="57"/>
    </row>
    <row r="64" spans="2:21 16383:16384" x14ac:dyDescent="0.25">
      <c r="B64" s="5"/>
      <c r="H64" s="79">
        <v>9</v>
      </c>
      <c r="I64" s="95">
        <f t="shared" si="7"/>
        <v>2060</v>
      </c>
      <c r="J64" s="95"/>
      <c r="K64" s="76">
        <f t="shared" si="8"/>
        <v>40.227222222222224</v>
      </c>
      <c r="L64" s="100">
        <f t="shared" si="9"/>
        <v>70.398560000000003</v>
      </c>
      <c r="M64" s="168"/>
      <c r="U64" s="6"/>
      <c r="XFC64" s="57"/>
      <c r="XFD64" s="57"/>
    </row>
    <row r="65" spans="2:21 16383:16384" ht="15.75" thickBot="1" x14ac:dyDescent="0.3">
      <c r="B65" s="5"/>
      <c r="H65" s="80">
        <v>10</v>
      </c>
      <c r="I65" s="106">
        <f t="shared" si="7"/>
        <v>2500</v>
      </c>
      <c r="J65" s="106"/>
      <c r="K65" s="81">
        <f t="shared" si="8"/>
        <v>48.819444444444443</v>
      </c>
      <c r="L65" s="110">
        <f t="shared" si="9"/>
        <v>70.419709999999995</v>
      </c>
      <c r="M65" s="226"/>
      <c r="U65" s="6"/>
      <c r="XFC65" s="57"/>
      <c r="XFD65" s="57"/>
    </row>
    <row r="66" spans="2:21 16383:16384" hidden="1" x14ac:dyDescent="0.25">
      <c r="B66" s="5"/>
      <c r="H66" s="68">
        <v>11</v>
      </c>
      <c r="I66" s="89" t="str">
        <f t="shared" si="7"/>
        <v/>
      </c>
      <c r="J66" s="90"/>
      <c r="K66" s="69">
        <f t="shared" si="8"/>
        <v>0</v>
      </c>
      <c r="L66" s="231" t="str">
        <f t="shared" si="9"/>
        <v/>
      </c>
      <c r="M66" s="232"/>
      <c r="U66" s="6"/>
      <c r="XFC66" s="57"/>
      <c r="XFD66" s="57"/>
    </row>
    <row r="67" spans="2:21 16383:16384" hidden="1" x14ac:dyDescent="0.25">
      <c r="B67" s="5"/>
      <c r="H67" s="48">
        <v>12</v>
      </c>
      <c r="I67" s="207" t="str">
        <f t="shared" si="7"/>
        <v/>
      </c>
      <c r="J67" s="208"/>
      <c r="K67" s="45">
        <f t="shared" si="8"/>
        <v>0</v>
      </c>
      <c r="L67" s="224" t="str">
        <f t="shared" si="9"/>
        <v/>
      </c>
      <c r="M67" s="168"/>
      <c r="U67" s="6"/>
      <c r="XFC67" s="57"/>
      <c r="XFD67" s="57"/>
    </row>
    <row r="68" spans="2:21 16383:16384" hidden="1" x14ac:dyDescent="0.25">
      <c r="B68" s="5"/>
      <c r="H68" s="48">
        <v>13</v>
      </c>
      <c r="I68" s="207" t="str">
        <f t="shared" si="7"/>
        <v/>
      </c>
      <c r="J68" s="208"/>
      <c r="K68" s="45">
        <f t="shared" si="8"/>
        <v>0</v>
      </c>
      <c r="L68" s="224" t="str">
        <f t="shared" si="9"/>
        <v/>
      </c>
      <c r="M68" s="168"/>
      <c r="U68" s="6"/>
      <c r="XFC68" s="57"/>
      <c r="XFD68" s="57"/>
    </row>
    <row r="69" spans="2:21 16383:16384" hidden="1" x14ac:dyDescent="0.25">
      <c r="B69" s="5"/>
      <c r="H69" s="48">
        <v>14</v>
      </c>
      <c r="I69" s="207" t="str">
        <f t="shared" si="7"/>
        <v/>
      </c>
      <c r="J69" s="208"/>
      <c r="K69" s="45">
        <f t="shared" si="8"/>
        <v>0</v>
      </c>
      <c r="L69" s="224" t="str">
        <f t="shared" si="9"/>
        <v/>
      </c>
      <c r="M69" s="168"/>
      <c r="U69" s="6"/>
      <c r="XFC69" s="227" t="str">
        <f>K32</f>
        <v/>
      </c>
      <c r="XFD69" s="227"/>
    </row>
    <row r="70" spans="2:21 16383:16384" ht="14.45" hidden="1" customHeight="1" x14ac:dyDescent="0.25">
      <c r="B70" s="5"/>
      <c r="H70" s="48">
        <v>15</v>
      </c>
      <c r="I70" s="207" t="str">
        <f t="shared" si="7"/>
        <v/>
      </c>
      <c r="J70" s="208"/>
      <c r="K70" s="62">
        <f t="shared" si="8"/>
        <v>0</v>
      </c>
      <c r="L70" s="224" t="str">
        <f t="shared" si="9"/>
        <v/>
      </c>
      <c r="M70" s="168"/>
      <c r="U70" s="6"/>
      <c r="XFC70" s="229"/>
      <c r="XFD70" s="229"/>
    </row>
    <row r="71" spans="2:21 16383:16384" ht="14.45" hidden="1" customHeight="1" x14ac:dyDescent="0.25">
      <c r="B71" s="5"/>
      <c r="H71" s="48">
        <v>16</v>
      </c>
      <c r="I71" s="207" t="str">
        <f t="shared" si="7"/>
        <v/>
      </c>
      <c r="J71" s="208"/>
      <c r="K71" s="64">
        <f t="shared" si="8"/>
        <v>0</v>
      </c>
      <c r="L71" s="224" t="str">
        <f t="shared" si="9"/>
        <v/>
      </c>
      <c r="M71" s="168"/>
      <c r="U71" s="6"/>
      <c r="XFC71" s="229"/>
      <c r="XFD71" s="229"/>
    </row>
    <row r="72" spans="2:21 16383:16384" ht="14.45" hidden="1" customHeight="1" x14ac:dyDescent="0.25">
      <c r="B72" s="5"/>
      <c r="H72" s="48">
        <v>17</v>
      </c>
      <c r="I72" s="207" t="str">
        <f t="shared" si="7"/>
        <v/>
      </c>
      <c r="J72" s="208"/>
      <c r="K72" s="64">
        <f t="shared" si="8"/>
        <v>0</v>
      </c>
      <c r="L72" s="224" t="str">
        <f t="shared" si="9"/>
        <v/>
      </c>
      <c r="M72" s="168"/>
      <c r="U72" s="6"/>
      <c r="XFC72" s="229"/>
      <c r="XFD72" s="229"/>
    </row>
    <row r="73" spans="2:21 16383:16384" ht="14.45" hidden="1" customHeight="1" x14ac:dyDescent="0.25">
      <c r="B73" s="5"/>
      <c r="H73" s="48">
        <v>18</v>
      </c>
      <c r="I73" s="207" t="str">
        <f t="shared" si="7"/>
        <v/>
      </c>
      <c r="J73" s="208"/>
      <c r="K73" s="64">
        <f t="shared" si="8"/>
        <v>0</v>
      </c>
      <c r="L73" s="224" t="str">
        <f t="shared" si="9"/>
        <v/>
      </c>
      <c r="M73" s="168"/>
      <c r="U73" s="6"/>
      <c r="XFC73" s="229"/>
      <c r="XFD73" s="229"/>
    </row>
    <row r="74" spans="2:21 16383:16384" ht="14.45" hidden="1" customHeight="1" x14ac:dyDescent="0.25">
      <c r="B74" s="5"/>
      <c r="H74" s="48">
        <v>19</v>
      </c>
      <c r="I74" s="207" t="str">
        <f t="shared" si="7"/>
        <v/>
      </c>
      <c r="J74" s="208"/>
      <c r="K74" s="64">
        <f t="shared" si="8"/>
        <v>0</v>
      </c>
      <c r="L74" s="224" t="str">
        <f t="shared" si="9"/>
        <v/>
      </c>
      <c r="M74" s="168"/>
      <c r="U74" s="6"/>
      <c r="XFC74" s="229"/>
      <c r="XFD74" s="229"/>
    </row>
    <row r="75" spans="2:21 16383:16384" ht="14.45" hidden="1" customHeight="1" thickBot="1" x14ac:dyDescent="0.3">
      <c r="B75" s="5"/>
      <c r="H75" s="49">
        <v>20</v>
      </c>
      <c r="I75" s="209" t="str">
        <f t="shared" si="7"/>
        <v/>
      </c>
      <c r="J75" s="210"/>
      <c r="K75" s="65">
        <f t="shared" si="8"/>
        <v>0</v>
      </c>
      <c r="L75" s="225" t="str">
        <f t="shared" si="9"/>
        <v/>
      </c>
      <c r="M75" s="226"/>
      <c r="U75" s="6"/>
      <c r="XFC75" s="229"/>
      <c r="XFD75" s="229"/>
    </row>
    <row r="76" spans="2:21 16383:16384" ht="15.75" thickBot="1" x14ac:dyDescent="0.3">
      <c r="B76" s="5"/>
      <c r="K76" s="60" t="s">
        <v>37</v>
      </c>
      <c r="L76" s="222">
        <f>AVERAGE(L56:M75)</f>
        <v>70.320824999999999</v>
      </c>
      <c r="M76" s="223"/>
      <c r="U76" s="6"/>
      <c r="XFC76" s="228"/>
      <c r="XFD76" s="228"/>
    </row>
    <row r="77" spans="2:21 16383:16384" ht="15.75" thickBot="1" x14ac:dyDescent="0.3">
      <c r="B77" s="5"/>
      <c r="K77" s="39"/>
      <c r="L77" s="40"/>
      <c r="M77" s="40"/>
      <c r="U77" s="6"/>
      <c r="XFC77" s="36"/>
      <c r="XFD77" s="36"/>
    </row>
    <row r="78" spans="2:21 16383:16384" ht="15.75" thickBot="1" x14ac:dyDescent="0.3">
      <c r="B78" s="5"/>
      <c r="H78" s="215" t="s">
        <v>38</v>
      </c>
      <c r="I78" s="216"/>
      <c r="J78" s="216"/>
      <c r="K78" s="216"/>
      <c r="L78" s="216"/>
      <c r="M78" s="217"/>
      <c r="P78" s="63"/>
      <c r="U78" s="6"/>
      <c r="XFC78" s="36"/>
      <c r="XFD78" s="36"/>
    </row>
    <row r="79" spans="2:21 16383:16384" ht="14.45" customHeight="1" x14ac:dyDescent="0.25">
      <c r="B79" s="5"/>
      <c r="H79" s="218" t="s">
        <v>39</v>
      </c>
      <c r="I79" s="211"/>
      <c r="J79" s="220">
        <f>IF(SMALL(I56:J75,1)=0,SMALL(I56:J75,2),SMALL(I56:J75,1))</f>
        <v>440</v>
      </c>
      <c r="K79" s="211" t="s">
        <v>45</v>
      </c>
      <c r="L79" s="211"/>
      <c r="M79" s="213">
        <f>LARGE(I56:J75,1)</f>
        <v>2500</v>
      </c>
      <c r="U79" s="6"/>
      <c r="XFC79" s="36"/>
      <c r="XFD79" s="36"/>
    </row>
    <row r="80" spans="2:21 16383:16384" ht="15.75" thickBot="1" x14ac:dyDescent="0.3">
      <c r="B80" s="5"/>
      <c r="H80" s="219"/>
      <c r="I80" s="212"/>
      <c r="J80" s="221"/>
      <c r="K80" s="212"/>
      <c r="L80" s="212"/>
      <c r="M80" s="214"/>
      <c r="U80" s="6"/>
    </row>
    <row r="81" spans="2:21" x14ac:dyDescent="0.25">
      <c r="B81" s="5"/>
      <c r="I81" s="58"/>
      <c r="J81" s="59"/>
      <c r="K81" s="59"/>
      <c r="L81" s="59"/>
      <c r="M81" s="59"/>
      <c r="U81" s="6"/>
    </row>
    <row r="82" spans="2:21" ht="15.75" thickBot="1" x14ac:dyDescent="0.3">
      <c r="B82" s="5"/>
      <c r="L82" s="59"/>
      <c r="M82" s="59"/>
      <c r="U82" s="6"/>
    </row>
    <row r="83" spans="2:21" ht="19.5" thickBot="1" x14ac:dyDescent="0.3">
      <c r="B83" s="5"/>
      <c r="C83" s="204" t="s">
        <v>32</v>
      </c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6"/>
      <c r="U83" s="6"/>
    </row>
    <row r="84" spans="2:21" ht="14.45" customHeight="1" x14ac:dyDescent="0.25">
      <c r="B84" s="5"/>
      <c r="C84" s="200" t="s">
        <v>33</v>
      </c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6"/>
    </row>
    <row r="85" spans="2:21" x14ac:dyDescent="0.25">
      <c r="B85" s="5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6"/>
    </row>
    <row r="86" spans="2:21" ht="14.45" customHeight="1" x14ac:dyDescent="0.25">
      <c r="B86" s="5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6"/>
    </row>
    <row r="87" spans="2:21" hidden="1" x14ac:dyDescent="0.25">
      <c r="B87" s="5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6"/>
    </row>
    <row r="88" spans="2:21" ht="13.5" customHeight="1" x14ac:dyDescent="0.25">
      <c r="B88" s="5"/>
      <c r="U88" s="6"/>
    </row>
    <row r="89" spans="2:21" hidden="1" x14ac:dyDescent="0.25">
      <c r="B89" s="5"/>
      <c r="U89" s="6"/>
    </row>
    <row r="90" spans="2:21" hidden="1" x14ac:dyDescent="0.25">
      <c r="B90" s="5"/>
      <c r="U90" s="6"/>
    </row>
    <row r="91" spans="2:21" ht="15.95" customHeight="1" x14ac:dyDescent="0.25">
      <c r="B91" s="5"/>
      <c r="F91" s="23" t="s">
        <v>34</v>
      </c>
      <c r="G91" s="23"/>
      <c r="H91" s="23"/>
      <c r="I91" s="23"/>
      <c r="J91" s="27"/>
      <c r="K91" s="27"/>
      <c r="L91" s="28"/>
      <c r="M91" s="23"/>
      <c r="N91" s="23" t="s">
        <v>35</v>
      </c>
      <c r="O91" s="23"/>
      <c r="P91" s="23"/>
      <c r="Q91" s="28"/>
      <c r="U91" s="6"/>
    </row>
    <row r="92" spans="2:21" ht="15.75" hidden="1" x14ac:dyDescent="0.25">
      <c r="B92" s="5"/>
      <c r="F92" s="23"/>
      <c r="G92" s="23"/>
      <c r="H92" s="23"/>
      <c r="I92" s="23"/>
      <c r="J92" s="27"/>
      <c r="K92" s="27"/>
      <c r="L92" s="28"/>
      <c r="M92" s="23"/>
      <c r="N92" s="23"/>
      <c r="O92" s="23"/>
      <c r="P92" s="23"/>
      <c r="Q92" s="28"/>
      <c r="U92" s="6"/>
    </row>
    <row r="93" spans="2:21" ht="15.75" hidden="1" x14ac:dyDescent="0.25">
      <c r="B93" s="5"/>
      <c r="F93" s="23"/>
      <c r="G93" s="23"/>
      <c r="H93" s="23"/>
      <c r="I93" s="23"/>
      <c r="J93" s="27"/>
      <c r="K93" s="27"/>
      <c r="L93" s="28"/>
      <c r="M93" s="23"/>
      <c r="N93" s="23"/>
      <c r="O93" s="23"/>
      <c r="P93" s="23"/>
      <c r="Q93" s="28"/>
      <c r="U93" s="6"/>
    </row>
    <row r="94" spans="2:21" ht="15.95" customHeight="1" x14ac:dyDescent="0.25">
      <c r="B94" s="5"/>
      <c r="F94" s="23"/>
      <c r="G94" s="23"/>
      <c r="H94" s="23"/>
      <c r="I94" s="23"/>
      <c r="J94" s="27"/>
      <c r="K94" s="27"/>
      <c r="L94" s="28"/>
      <c r="M94" s="23"/>
      <c r="N94" s="23"/>
      <c r="O94" s="23"/>
      <c r="P94" s="23"/>
      <c r="Q94" s="28"/>
      <c r="U94" s="6"/>
    </row>
    <row r="95" spans="2:21" ht="15.75" hidden="1" x14ac:dyDescent="0.25">
      <c r="B95" s="5"/>
      <c r="F95" s="29"/>
      <c r="G95" s="29"/>
      <c r="H95" s="29"/>
      <c r="I95" s="29"/>
      <c r="J95" s="23"/>
      <c r="K95" s="23"/>
      <c r="L95" s="23"/>
      <c r="M95" s="23"/>
      <c r="N95" s="29"/>
      <c r="O95" s="29"/>
      <c r="P95" s="29"/>
      <c r="Q95" s="29"/>
      <c r="U95" s="6"/>
    </row>
    <row r="96" spans="2:21" ht="15.95" customHeight="1" x14ac:dyDescent="0.25">
      <c r="B96" s="5"/>
      <c r="F96" s="203" t="s">
        <v>42</v>
      </c>
      <c r="G96" s="203"/>
      <c r="H96" s="203"/>
      <c r="I96" s="203"/>
      <c r="J96" s="30"/>
      <c r="K96" s="30"/>
      <c r="L96" s="23"/>
      <c r="M96" s="23"/>
      <c r="N96" s="201" t="s">
        <v>71</v>
      </c>
      <c r="O96" s="201"/>
      <c r="P96" s="201"/>
      <c r="Q96" s="201"/>
      <c r="U96" s="6"/>
    </row>
    <row r="97" spans="2:21" ht="15.75" hidden="1" x14ac:dyDescent="0.25">
      <c r="B97" s="5"/>
      <c r="F97" s="202"/>
      <c r="G97" s="202"/>
      <c r="H97" s="202"/>
      <c r="I97" s="202"/>
      <c r="J97" s="30"/>
      <c r="K97" s="30"/>
      <c r="L97" s="23"/>
      <c r="M97" s="23"/>
      <c r="N97" s="31"/>
      <c r="O97" s="31"/>
      <c r="P97" s="31"/>
      <c r="Q97" s="31"/>
      <c r="U97" s="6"/>
    </row>
    <row r="98" spans="2:21" ht="15.95" customHeight="1" x14ac:dyDescent="0.25">
      <c r="B98" s="5"/>
      <c r="F98" s="202">
        <v>46141</v>
      </c>
      <c r="G98" s="202"/>
      <c r="H98" s="202"/>
      <c r="I98" s="202"/>
      <c r="J98" s="23"/>
      <c r="K98" s="23"/>
      <c r="L98" s="23"/>
      <c r="M98" s="23"/>
      <c r="N98" s="202">
        <f>F98</f>
        <v>46141</v>
      </c>
      <c r="O98" s="202"/>
      <c r="P98" s="202"/>
      <c r="Q98" s="202"/>
      <c r="U98" s="6"/>
    </row>
    <row r="99" spans="2:21" x14ac:dyDescent="0.25">
      <c r="B99" s="5"/>
      <c r="U99" s="6"/>
    </row>
    <row r="100" spans="2:21" ht="15.75" thickBot="1" x14ac:dyDescent="0.3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</row>
    <row r="101" spans="2:21" ht="15.75" thickBot="1" x14ac:dyDescent="0.3">
      <c r="Q101" s="8"/>
    </row>
  </sheetData>
  <mergeCells count="288">
    <mergeCell ref="O38:P38"/>
    <mergeCell ref="O39:P39"/>
    <mergeCell ref="O40:P40"/>
    <mergeCell ref="L70:M70"/>
    <mergeCell ref="L71:M71"/>
    <mergeCell ref="L72:M72"/>
    <mergeCell ref="L73:M73"/>
    <mergeCell ref="C39:D39"/>
    <mergeCell ref="C40:D40"/>
    <mergeCell ref="E35:F35"/>
    <mergeCell ref="E36:F36"/>
    <mergeCell ref="E37:F37"/>
    <mergeCell ref="E38:F38"/>
    <mergeCell ref="E39:F39"/>
    <mergeCell ref="E40:F40"/>
    <mergeCell ref="I67:J67"/>
    <mergeCell ref="I68:J68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I66:J66"/>
    <mergeCell ref="XFC56:XFD56"/>
    <mergeCell ref="I55:J55"/>
    <mergeCell ref="I56:J56"/>
    <mergeCell ref="G35:H35"/>
    <mergeCell ref="G36:H36"/>
    <mergeCell ref="G37:H37"/>
    <mergeCell ref="G38:H38"/>
    <mergeCell ref="G39:H39"/>
    <mergeCell ref="G40:H40"/>
    <mergeCell ref="I35:J35"/>
    <mergeCell ref="I36:J36"/>
    <mergeCell ref="I37:J37"/>
    <mergeCell ref="I38:J38"/>
    <mergeCell ref="I39:J39"/>
    <mergeCell ref="I40:J40"/>
    <mergeCell ref="S35:T35"/>
    <mergeCell ref="Q35:R35"/>
    <mergeCell ref="Q36:R36"/>
    <mergeCell ref="Q37:R37"/>
    <mergeCell ref="Q38:R38"/>
    <mergeCell ref="Q39:R39"/>
    <mergeCell ref="Q40:R40"/>
    <mergeCell ref="O36:P36"/>
    <mergeCell ref="O37:P37"/>
    <mergeCell ref="XFC57:XFD57"/>
    <mergeCell ref="XFC58:XFD58"/>
    <mergeCell ref="XFC59:XFD59"/>
    <mergeCell ref="XFC69:XFD69"/>
    <mergeCell ref="XFC76:XFD76"/>
    <mergeCell ref="I70:J70"/>
    <mergeCell ref="I73:J73"/>
    <mergeCell ref="I71:J71"/>
    <mergeCell ref="XFC72:XFD72"/>
    <mergeCell ref="XFC73:XFD73"/>
    <mergeCell ref="XFC74:XFD74"/>
    <mergeCell ref="XFC75:XFD75"/>
    <mergeCell ref="XFC70:XFD70"/>
    <mergeCell ref="XFC71:XFD71"/>
    <mergeCell ref="L69:M69"/>
    <mergeCell ref="L59:M59"/>
    <mergeCell ref="I69:J69"/>
    <mergeCell ref="I57:J57"/>
    <mergeCell ref="I60:J60"/>
    <mergeCell ref="I61:J61"/>
    <mergeCell ref="I62:J62"/>
    <mergeCell ref="I63:J63"/>
    <mergeCell ref="I64:J64"/>
    <mergeCell ref="I65:J65"/>
    <mergeCell ref="C84:T85"/>
    <mergeCell ref="C86:T87"/>
    <mergeCell ref="N96:Q96"/>
    <mergeCell ref="N98:Q98"/>
    <mergeCell ref="F96:I96"/>
    <mergeCell ref="F97:I97"/>
    <mergeCell ref="F98:I98"/>
    <mergeCell ref="C83:T83"/>
    <mergeCell ref="I72:J72"/>
    <mergeCell ref="I75:J75"/>
    <mergeCell ref="I74:J74"/>
    <mergeCell ref="K79:L80"/>
    <mergeCell ref="M79:M80"/>
    <mergeCell ref="H78:M78"/>
    <mergeCell ref="H79:I80"/>
    <mergeCell ref="J79:J80"/>
    <mergeCell ref="L76:M76"/>
    <mergeCell ref="L74:M74"/>
    <mergeCell ref="L75:M75"/>
    <mergeCell ref="M9:T9"/>
    <mergeCell ref="I50:K50"/>
    <mergeCell ref="M45:P45"/>
    <mergeCell ref="D19:E19"/>
    <mergeCell ref="L56:M56"/>
    <mergeCell ref="L55:M55"/>
    <mergeCell ref="S34:T34"/>
    <mergeCell ref="I34:J34"/>
    <mergeCell ref="C41:D41"/>
    <mergeCell ref="E41:F41"/>
    <mergeCell ref="K41:L41"/>
    <mergeCell ref="M41:N41"/>
    <mergeCell ref="G21:H21"/>
    <mergeCell ref="G22:H22"/>
    <mergeCell ref="G23:H23"/>
    <mergeCell ref="G24:H24"/>
    <mergeCell ref="G32:H32"/>
    <mergeCell ref="G33:H33"/>
    <mergeCell ref="G34:H34"/>
    <mergeCell ref="G41:H41"/>
    <mergeCell ref="C31:D31"/>
    <mergeCell ref="E25:F25"/>
    <mergeCell ref="G25:H25"/>
    <mergeCell ref="I25:J25"/>
    <mergeCell ref="B2:U5"/>
    <mergeCell ref="C43:T43"/>
    <mergeCell ref="C45:F45"/>
    <mergeCell ref="I21:J21"/>
    <mergeCell ref="I58:J58"/>
    <mergeCell ref="C52:T53"/>
    <mergeCell ref="I45:L45"/>
    <mergeCell ref="L58:M58"/>
    <mergeCell ref="L57:M57"/>
    <mergeCell ref="O41:P41"/>
    <mergeCell ref="Q41:R41"/>
    <mergeCell ref="S41:T41"/>
    <mergeCell ref="I41:J41"/>
    <mergeCell ref="C34:D34"/>
    <mergeCell ref="E34:F34"/>
    <mergeCell ref="K34:L34"/>
    <mergeCell ref="C35:D35"/>
    <mergeCell ref="C36:D36"/>
    <mergeCell ref="C37:D37"/>
    <mergeCell ref="C38:D38"/>
    <mergeCell ref="C32:D32"/>
    <mergeCell ref="E32:F32"/>
    <mergeCell ref="K32:L32"/>
    <mergeCell ref="M32:N32"/>
    <mergeCell ref="O32:P32"/>
    <mergeCell ref="Q32:R32"/>
    <mergeCell ref="S32:T32"/>
    <mergeCell ref="I32:J32"/>
    <mergeCell ref="C33:D33"/>
    <mergeCell ref="E33:F33"/>
    <mergeCell ref="K33:L33"/>
    <mergeCell ref="M33:N33"/>
    <mergeCell ref="O33:P33"/>
    <mergeCell ref="Q33:R33"/>
    <mergeCell ref="C7:T7"/>
    <mergeCell ref="C17:T17"/>
    <mergeCell ref="C21:D21"/>
    <mergeCell ref="E21:F21"/>
    <mergeCell ref="K21:L21"/>
    <mergeCell ref="M21:N21"/>
    <mergeCell ref="O21:P21"/>
    <mergeCell ref="Q21:R21"/>
    <mergeCell ref="S21:T21"/>
    <mergeCell ref="M10:T10"/>
    <mergeCell ref="M11:T11"/>
    <mergeCell ref="M12:T12"/>
    <mergeCell ref="M13:T13"/>
    <mergeCell ref="M14:T14"/>
    <mergeCell ref="M15:T15"/>
    <mergeCell ref="D11:G11"/>
    <mergeCell ref="D9:G9"/>
    <mergeCell ref="K15:L15"/>
    <mergeCell ref="K14:L14"/>
    <mergeCell ref="K13:L13"/>
    <mergeCell ref="K12:L12"/>
    <mergeCell ref="K11:L11"/>
    <mergeCell ref="K10:L10"/>
    <mergeCell ref="K9:L9"/>
    <mergeCell ref="C25:D25"/>
    <mergeCell ref="C26:D26"/>
    <mergeCell ref="C27:D27"/>
    <mergeCell ref="C28:D28"/>
    <mergeCell ref="S22:T22"/>
    <mergeCell ref="I22:J22"/>
    <mergeCell ref="C22:D22"/>
    <mergeCell ref="E22:F22"/>
    <mergeCell ref="K22:L22"/>
    <mergeCell ref="M22:N22"/>
    <mergeCell ref="O22:P22"/>
    <mergeCell ref="Q22:R22"/>
    <mergeCell ref="Q24:R24"/>
    <mergeCell ref="K25:L25"/>
    <mergeCell ref="M25:N25"/>
    <mergeCell ref="O25:P25"/>
    <mergeCell ref="Q25:R25"/>
    <mergeCell ref="S25:T25"/>
    <mergeCell ref="E26:F26"/>
    <mergeCell ref="G26:H26"/>
    <mergeCell ref="I26:J26"/>
    <mergeCell ref="K26:L26"/>
    <mergeCell ref="M26:N26"/>
    <mergeCell ref="O26:P26"/>
    <mergeCell ref="D14:G14"/>
    <mergeCell ref="D13:G13"/>
    <mergeCell ref="D12:G12"/>
    <mergeCell ref="D10:G10"/>
    <mergeCell ref="S24:T24"/>
    <mergeCell ref="I24:J24"/>
    <mergeCell ref="C23:D23"/>
    <mergeCell ref="E23:F23"/>
    <mergeCell ref="K23:L23"/>
    <mergeCell ref="M23:N23"/>
    <mergeCell ref="O23:P23"/>
    <mergeCell ref="Q23:R23"/>
    <mergeCell ref="S23:T23"/>
    <mergeCell ref="I23:J23"/>
    <mergeCell ref="C24:D24"/>
    <mergeCell ref="E24:F24"/>
    <mergeCell ref="K24:L24"/>
    <mergeCell ref="M24:N24"/>
    <mergeCell ref="O24:P24"/>
    <mergeCell ref="D15:G15"/>
    <mergeCell ref="Q26:R26"/>
    <mergeCell ref="S26:T26"/>
    <mergeCell ref="E27:F27"/>
    <mergeCell ref="G27:H27"/>
    <mergeCell ref="I27:J27"/>
    <mergeCell ref="K27:L27"/>
    <mergeCell ref="M27:N27"/>
    <mergeCell ref="O27:P27"/>
    <mergeCell ref="Q27:R27"/>
    <mergeCell ref="S27:T27"/>
    <mergeCell ref="E28:F28"/>
    <mergeCell ref="G28:H28"/>
    <mergeCell ref="I28:J28"/>
    <mergeCell ref="K28:L28"/>
    <mergeCell ref="M28:N28"/>
    <mergeCell ref="O28:P28"/>
    <mergeCell ref="Q28:R28"/>
    <mergeCell ref="S28:T28"/>
    <mergeCell ref="E31:F31"/>
    <mergeCell ref="G31:H31"/>
    <mergeCell ref="I31:J31"/>
    <mergeCell ref="K31:L31"/>
    <mergeCell ref="M31:N31"/>
    <mergeCell ref="O31:P31"/>
    <mergeCell ref="Q31:R31"/>
    <mergeCell ref="S31:T31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M34:N34"/>
    <mergeCell ref="O34:P34"/>
    <mergeCell ref="Q34:R34"/>
    <mergeCell ref="S33:T33"/>
    <mergeCell ref="I33:J33"/>
    <mergeCell ref="I59:J59"/>
    <mergeCell ref="K35:L35"/>
    <mergeCell ref="K36:L36"/>
    <mergeCell ref="K37:L37"/>
    <mergeCell ref="K38:L38"/>
    <mergeCell ref="K39:L39"/>
    <mergeCell ref="K40:L40"/>
    <mergeCell ref="M35:N35"/>
    <mergeCell ref="M36:N36"/>
    <mergeCell ref="M37:N37"/>
    <mergeCell ref="S36:T36"/>
    <mergeCell ref="S37:T37"/>
    <mergeCell ref="S38:T38"/>
    <mergeCell ref="S39:T39"/>
    <mergeCell ref="S40:T40"/>
    <mergeCell ref="M38:N38"/>
    <mergeCell ref="M39:N39"/>
    <mergeCell ref="M40:N40"/>
    <mergeCell ref="O35:P35"/>
  </mergeCells>
  <phoneticPr fontId="8" type="noConversion"/>
  <conditionalFormatting sqref="S22:T41">
    <cfRule type="cellIs" dxfId="7" priority="1" operator="equal">
      <formula>"aprovado"</formula>
    </cfRule>
    <cfRule type="cellIs" dxfId="6" priority="2" operator="equal">
      <formula>"aprovado"</formula>
    </cfRule>
    <cfRule type="cellIs" dxfId="5" priority="3" operator="equal">
      <formula>"reprovado"</formula>
    </cfRule>
  </conditionalFormatting>
  <dataValidations disablePrompts="1" count="1">
    <dataValidation type="list" allowBlank="1" showInputMessage="1" showErrorMessage="1" sqref="D12:G12" xr:uid="{437C91F1-97B9-4361-BF7E-383142B30F71}">
      <formula1>"FISCAL,APROPRIAÇÃO,TRANSFERÊNCIA DE CUSTÓDIA,OPERACIONAL"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2E7E-2BF9-4367-90C4-1FA23E0F8C2E}">
  <sheetPr>
    <pageSetUpPr fitToPage="1"/>
  </sheetPr>
  <dimension ref="A1:XFD180"/>
  <sheetViews>
    <sheetView view="pageBreakPreview" topLeftCell="A2" zoomScaleNormal="100" zoomScaleSheetLayoutView="100" workbookViewId="0">
      <selection activeCell="G50" sqref="G50"/>
    </sheetView>
  </sheetViews>
  <sheetFormatPr defaultColWidth="0" defaultRowHeight="15" x14ac:dyDescent="0.25"/>
  <cols>
    <col min="1" max="1" width="2.5703125" style="2" customWidth="1"/>
    <col min="2" max="2" width="3.5703125" style="2" customWidth="1"/>
    <col min="3" max="3" width="20.5703125" style="2" customWidth="1"/>
    <col min="4" max="4" width="10.5703125" style="2" bestFit="1" customWidth="1"/>
    <col min="5" max="5" width="9.42578125" style="2" bestFit="1" customWidth="1"/>
    <col min="6" max="6" width="7.140625" style="2" customWidth="1"/>
    <col min="7" max="7" width="15.85546875" style="2" customWidth="1"/>
    <col min="8" max="8" width="10.28515625" style="2" customWidth="1"/>
    <col min="9" max="9" width="11" style="2" customWidth="1"/>
    <col min="10" max="10" width="14.85546875" style="2" customWidth="1"/>
    <col min="11" max="11" width="15" style="2" bestFit="1" customWidth="1"/>
    <col min="12" max="12" width="5.85546875" style="2" customWidth="1"/>
    <col min="13" max="13" width="12.7109375" style="2" customWidth="1"/>
    <col min="14" max="19" width="8.5703125" style="2" customWidth="1"/>
    <col min="20" max="20" width="6.140625" style="2" customWidth="1"/>
    <col min="21" max="21" width="3.5703125" style="2" customWidth="1"/>
    <col min="22" max="22" width="4" style="2" bestFit="1" customWidth="1"/>
    <col min="23" max="23" width="1.5703125" style="2" customWidth="1"/>
    <col min="24" max="26" width="0" style="2" hidden="1" customWidth="1"/>
    <col min="27" max="16384" width="8.7109375" style="2" hidden="1"/>
  </cols>
  <sheetData>
    <row r="1" spans="2:23" ht="15.75" hidden="1" thickBot="1" x14ac:dyDescent="0.3"/>
    <row r="2" spans="2:23" ht="15.95" customHeight="1" x14ac:dyDescent="0.25">
      <c r="B2" s="151" t="s">
        <v>50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3"/>
      <c r="V2" s="32"/>
      <c r="W2" s="1"/>
    </row>
    <row r="3" spans="2:23" ht="15.95" customHeight="1" x14ac:dyDescent="0.25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6"/>
      <c r="V3" s="32"/>
      <c r="W3" s="1"/>
    </row>
    <row r="4" spans="2:23" ht="26.1" customHeight="1" x14ac:dyDescent="0.25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6"/>
      <c r="V4" s="32"/>
      <c r="W4" s="1"/>
    </row>
    <row r="5" spans="2:23" ht="15.95" customHeight="1" thickBot="1" x14ac:dyDescent="0.3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9"/>
      <c r="V5" s="32"/>
      <c r="W5" s="1"/>
    </row>
    <row r="6" spans="2:23" ht="15.75" hidden="1" x14ac:dyDescent="0.25"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1"/>
      <c r="V6" s="1"/>
      <c r="W6" s="1"/>
    </row>
    <row r="7" spans="2:23" ht="19.5" hidden="1" thickBot="1" x14ac:dyDescent="0.3">
      <c r="B7" s="10"/>
      <c r="C7" s="125" t="s">
        <v>1</v>
      </c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"/>
      <c r="V7" s="3"/>
      <c r="W7" s="1"/>
    </row>
    <row r="8" spans="2:23" ht="15.95" customHeight="1" x14ac:dyDescent="0.25"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12"/>
      <c r="V8" s="3"/>
      <c r="W8" s="1"/>
    </row>
    <row r="9" spans="2:23" ht="15.75" x14ac:dyDescent="0.25">
      <c r="B9" s="10"/>
      <c r="C9" s="20" t="s">
        <v>2</v>
      </c>
      <c r="D9" s="117" t="str">
        <f>Linearização!D9</f>
        <v>PRIO</v>
      </c>
      <c r="E9" s="117"/>
      <c r="F9" s="117"/>
      <c r="G9" s="117"/>
      <c r="H9" s="52"/>
      <c r="I9" s="52"/>
      <c r="J9" s="52"/>
      <c r="K9" s="142" t="s">
        <v>3</v>
      </c>
      <c r="L9" s="142"/>
      <c r="M9" s="138" t="str">
        <f>Linearização!M9</f>
        <v>LMV 49874-26</v>
      </c>
      <c r="N9" s="138"/>
      <c r="O9" s="138"/>
      <c r="P9" s="138"/>
      <c r="Q9" s="138"/>
      <c r="R9" s="138"/>
      <c r="S9" s="138"/>
      <c r="T9" s="138"/>
      <c r="U9" s="13"/>
      <c r="V9" s="33"/>
      <c r="W9" s="1"/>
    </row>
    <row r="10" spans="2:23" ht="15.75" customHeight="1" x14ac:dyDescent="0.25">
      <c r="B10" s="14"/>
      <c r="C10" s="21" t="s">
        <v>4</v>
      </c>
      <c r="D10" s="117" t="str">
        <f>Linearização!D10</f>
        <v>FPSO BRAVO</v>
      </c>
      <c r="E10" s="117"/>
      <c r="F10" s="117"/>
      <c r="G10" s="117"/>
      <c r="H10" s="52"/>
      <c r="I10" s="52"/>
      <c r="J10" s="52"/>
      <c r="K10" s="140" t="s">
        <v>5</v>
      </c>
      <c r="L10" s="140"/>
      <c r="M10" s="138" t="str">
        <f>Linearização!M10</f>
        <v>TZN350-3500</v>
      </c>
      <c r="N10" s="138"/>
      <c r="O10" s="138"/>
      <c r="P10" s="138"/>
      <c r="Q10" s="138"/>
      <c r="R10" s="138"/>
      <c r="S10" s="138"/>
      <c r="T10" s="138"/>
      <c r="U10" s="15"/>
      <c r="V10" s="4"/>
      <c r="W10" s="4"/>
    </row>
    <row r="11" spans="2:23" ht="15.75" customHeight="1" x14ac:dyDescent="0.25">
      <c r="B11" s="14"/>
      <c r="C11" s="22" t="s">
        <v>6</v>
      </c>
      <c r="D11" s="117" t="str">
        <f>Linearização!D11</f>
        <v>FT-7145B-01</v>
      </c>
      <c r="E11" s="117"/>
      <c r="F11" s="117"/>
      <c r="G11" s="117"/>
      <c r="H11" s="52"/>
      <c r="I11" s="52"/>
      <c r="J11" s="52"/>
      <c r="K11" s="140" t="s">
        <v>7</v>
      </c>
      <c r="L11" s="140"/>
      <c r="M11" s="138" t="str">
        <f>Linearização!M11</f>
        <v>FAURE HERMAN</v>
      </c>
      <c r="N11" s="138"/>
      <c r="O11" s="138"/>
      <c r="P11" s="138"/>
      <c r="Q11" s="138"/>
      <c r="R11" s="138"/>
      <c r="S11" s="138"/>
      <c r="T11" s="138"/>
      <c r="U11" s="15"/>
      <c r="V11" s="4"/>
      <c r="W11" s="4"/>
    </row>
    <row r="12" spans="2:23" ht="15.75" customHeight="1" x14ac:dyDescent="0.25">
      <c r="B12" s="14"/>
      <c r="C12" s="22" t="s">
        <v>8</v>
      </c>
      <c r="D12" s="117" t="str">
        <f>Linearização!D12</f>
        <v>TRANSFERÊNCIA DE CUSTÓDIA</v>
      </c>
      <c r="E12" s="117"/>
      <c r="F12" s="117"/>
      <c r="G12" s="117"/>
      <c r="H12" s="52"/>
      <c r="I12" s="52"/>
      <c r="J12" s="52"/>
      <c r="K12" s="140" t="s">
        <v>9</v>
      </c>
      <c r="L12" s="140"/>
      <c r="M12" s="138" t="str">
        <f>Linearização!M12</f>
        <v>FT-7145B-01</v>
      </c>
      <c r="N12" s="138"/>
      <c r="O12" s="138"/>
      <c r="P12" s="138"/>
      <c r="Q12" s="138"/>
      <c r="R12" s="138"/>
      <c r="S12" s="138"/>
      <c r="T12" s="138"/>
      <c r="U12" s="15"/>
      <c r="V12" s="4"/>
      <c r="W12" s="4"/>
    </row>
    <row r="13" spans="2:23" ht="15.75" x14ac:dyDescent="0.25">
      <c r="B13" s="14"/>
      <c r="C13" s="22" t="s">
        <v>10</v>
      </c>
      <c r="D13" s="117" t="str">
        <f>Linearização!D13</f>
        <v>OFFLOADING TRAMO B</v>
      </c>
      <c r="E13" s="117"/>
      <c r="F13" s="117"/>
      <c r="G13" s="117"/>
      <c r="H13" s="52"/>
      <c r="I13" s="52"/>
      <c r="J13" s="52"/>
      <c r="K13" s="141" t="s">
        <v>11</v>
      </c>
      <c r="L13" s="141"/>
      <c r="M13" s="138">
        <f>Linearização!M13</f>
        <v>9013404</v>
      </c>
      <c r="N13" s="138"/>
      <c r="O13" s="138"/>
      <c r="P13" s="138"/>
      <c r="Q13" s="138"/>
      <c r="R13" s="138"/>
      <c r="S13" s="138"/>
      <c r="T13" s="138"/>
      <c r="U13" s="15"/>
      <c r="V13" s="4"/>
      <c r="W13" s="4"/>
    </row>
    <row r="14" spans="2:23" ht="15.75" x14ac:dyDescent="0.25">
      <c r="B14" s="10"/>
      <c r="C14" s="22" t="s">
        <v>44</v>
      </c>
      <c r="D14" s="116">
        <f>Linearização!D14</f>
        <v>46137</v>
      </c>
      <c r="E14" s="116"/>
      <c r="F14" s="116"/>
      <c r="G14" s="116"/>
      <c r="H14" s="52"/>
      <c r="I14" s="52"/>
      <c r="J14" s="52"/>
      <c r="K14" s="140" t="s">
        <v>12</v>
      </c>
      <c r="L14" s="140"/>
      <c r="M14" s="138" t="str">
        <f>Linearização!M14</f>
        <v>14"</v>
      </c>
      <c r="N14" s="138"/>
      <c r="O14" s="138"/>
      <c r="P14" s="138"/>
      <c r="Q14" s="138"/>
      <c r="R14" s="138"/>
      <c r="S14" s="138"/>
      <c r="T14" s="138"/>
      <c r="U14" s="11"/>
      <c r="V14" s="1"/>
      <c r="W14" s="1"/>
    </row>
    <row r="15" spans="2:23" ht="15.75" customHeight="1" x14ac:dyDescent="0.25">
      <c r="B15" s="5"/>
      <c r="C15" s="22" t="s">
        <v>13</v>
      </c>
      <c r="D15" s="117" t="str">
        <f>Linearização!D15</f>
        <v>TURBINA</v>
      </c>
      <c r="E15" s="117"/>
      <c r="F15" s="117"/>
      <c r="G15" s="117"/>
      <c r="H15" s="52"/>
      <c r="I15" s="52"/>
      <c r="J15" s="52"/>
      <c r="K15" s="140" t="s">
        <v>14</v>
      </c>
      <c r="L15" s="140"/>
      <c r="M15" s="138" t="str">
        <f>Linearização!M15</f>
        <v>440 m³/h a 2500 m³/h</v>
      </c>
      <c r="N15" s="138"/>
      <c r="O15" s="138"/>
      <c r="P15" s="138"/>
      <c r="Q15" s="138"/>
      <c r="R15" s="138"/>
      <c r="S15" s="138"/>
      <c r="T15" s="138"/>
      <c r="U15" s="6"/>
    </row>
    <row r="16" spans="2:23" ht="15.75" thickBot="1" x14ac:dyDescent="0.3">
      <c r="B16" s="5"/>
      <c r="U16" s="6"/>
    </row>
    <row r="17" spans="2:22" ht="19.5" thickBot="1" x14ac:dyDescent="0.3">
      <c r="B17" s="5"/>
      <c r="C17" s="128" t="s">
        <v>15</v>
      </c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30"/>
      <c r="U17" s="16"/>
      <c r="V17" s="34"/>
    </row>
    <row r="18" spans="2:22" x14ac:dyDescent="0.25">
      <c r="B18" s="5"/>
      <c r="U18" s="6"/>
    </row>
    <row r="19" spans="2:22" x14ac:dyDescent="0.25">
      <c r="B19" s="5"/>
      <c r="C19" s="24" t="s">
        <v>16</v>
      </c>
      <c r="D19" s="181">
        <f>Linearização!D19</f>
        <v>70.3</v>
      </c>
      <c r="E19" s="181"/>
      <c r="F19" s="24" t="s">
        <v>17</v>
      </c>
      <c r="G19" s="24"/>
      <c r="U19" s="6"/>
    </row>
    <row r="20" spans="2:22" ht="15.75" thickBot="1" x14ac:dyDescent="0.3">
      <c r="B20" s="5"/>
      <c r="U20" s="6"/>
      <c r="V20" s="56"/>
    </row>
    <row r="21" spans="2:22" ht="15.75" thickBot="1" x14ac:dyDescent="0.3">
      <c r="B21" s="5"/>
      <c r="C21" s="131" t="str">
        <f>Linearização!C21</f>
        <v>Vazão da Calibração (m³/h)</v>
      </c>
      <c r="D21" s="132"/>
      <c r="E21" s="131" t="str">
        <f>Linearização!E21</f>
        <v>Frequência (Hz)</v>
      </c>
      <c r="F21" s="132"/>
      <c r="G21" s="131" t="str">
        <f>Linearização!G21</f>
        <v>Volume de Referência (L)</v>
      </c>
      <c r="H21" s="132"/>
      <c r="I21" s="131" t="str">
        <f>Linearização!I21</f>
        <v>Volume do Medidor (L)</v>
      </c>
      <c r="J21" s="132"/>
      <c r="K21" s="131" t="str">
        <f>Linearização!K21</f>
        <v>Meter Factor</v>
      </c>
      <c r="L21" s="132"/>
      <c r="M21" s="131" t="str">
        <f>Linearização!M21</f>
        <v>Erro (%)</v>
      </c>
      <c r="N21" s="132"/>
      <c r="O21" s="131" t="str">
        <f>Linearização!O21</f>
        <v>K-factor corrigido</v>
      </c>
      <c r="P21" s="132"/>
      <c r="Q21" s="131" t="str">
        <f>Linearização!Q21</f>
        <v>Incerteza (%)</v>
      </c>
      <c r="R21" s="132"/>
      <c r="S21" s="131" t="str">
        <f>Linearização!S21</f>
        <v>Status</v>
      </c>
      <c r="T21" s="132"/>
      <c r="U21" s="17"/>
      <c r="V21" s="35"/>
    </row>
    <row r="22" spans="2:22" x14ac:dyDescent="0.25">
      <c r="B22" s="5"/>
      <c r="C22" s="121">
        <f>Linearização!C22</f>
        <v>440</v>
      </c>
      <c r="D22" s="122"/>
      <c r="E22" s="122">
        <f>Linearização!E22</f>
        <v>8.5922222222222224</v>
      </c>
      <c r="F22" s="122"/>
      <c r="G22" s="120">
        <f>Linearização!G22</f>
        <v>145953.57</v>
      </c>
      <c r="H22" s="120"/>
      <c r="I22" s="120">
        <f>Linearização!I22</f>
        <v>145713.60999999999</v>
      </c>
      <c r="J22" s="120"/>
      <c r="K22" s="123">
        <f>Linearização!K22</f>
        <v>1.0016499999999999</v>
      </c>
      <c r="L22" s="123"/>
      <c r="M22" s="120">
        <f>Linearização!M22</f>
        <v>-0.16</v>
      </c>
      <c r="N22" s="120"/>
      <c r="O22" s="123">
        <f>Linearização!O22</f>
        <v>70.184200000000004</v>
      </c>
      <c r="P22" s="123"/>
      <c r="Q22" s="120">
        <f>Linearização!Q22</f>
        <v>0.15</v>
      </c>
      <c r="R22" s="120"/>
      <c r="S22" s="118" t="str">
        <f>Linearização!S22</f>
        <v>APROVADO</v>
      </c>
      <c r="T22" s="119"/>
      <c r="U22" s="18"/>
      <c r="V22" s="36"/>
    </row>
    <row r="23" spans="2:22" x14ac:dyDescent="0.25">
      <c r="B23" s="5"/>
      <c r="C23" s="96">
        <f>Linearização!C23</f>
        <v>530</v>
      </c>
      <c r="D23" s="95"/>
      <c r="E23" s="95">
        <f>Linearização!E23</f>
        <v>10.349722222222223</v>
      </c>
      <c r="F23" s="95"/>
      <c r="G23" s="99">
        <f>Linearização!G23</f>
        <v>145925.9</v>
      </c>
      <c r="H23" s="99"/>
      <c r="I23" s="99">
        <f>Linearização!I23</f>
        <v>145765.76999999999</v>
      </c>
      <c r="J23" s="99"/>
      <c r="K23" s="100">
        <f>Linearização!K23</f>
        <v>1.0011000000000001</v>
      </c>
      <c r="L23" s="100"/>
      <c r="M23" s="99">
        <f>Linearização!M23</f>
        <v>-0.11</v>
      </c>
      <c r="N23" s="99"/>
      <c r="O23" s="100">
        <f>Linearização!O23</f>
        <v>70.222750000000005</v>
      </c>
      <c r="P23" s="100"/>
      <c r="Q23" s="99">
        <f>Linearização!Q23</f>
        <v>0.15</v>
      </c>
      <c r="R23" s="99"/>
      <c r="S23" s="104" t="str">
        <f>Linearização!S23</f>
        <v>APROVADO</v>
      </c>
      <c r="T23" s="105"/>
      <c r="U23" s="18"/>
      <c r="V23" s="36"/>
    </row>
    <row r="24" spans="2:22" x14ac:dyDescent="0.25">
      <c r="B24" s="5"/>
      <c r="C24" s="96">
        <f>Linearização!C24</f>
        <v>640</v>
      </c>
      <c r="D24" s="95"/>
      <c r="E24" s="95">
        <f>Linearização!E24</f>
        <v>12.497777777777777</v>
      </c>
      <c r="F24" s="95"/>
      <c r="G24" s="99">
        <f>Linearização!G24</f>
        <v>291858.88</v>
      </c>
      <c r="H24" s="99"/>
      <c r="I24" s="99">
        <f>Linearização!I24</f>
        <v>291631.09999999998</v>
      </c>
      <c r="J24" s="99"/>
      <c r="K24" s="100">
        <f>Linearização!K24</f>
        <v>1.00078</v>
      </c>
      <c r="L24" s="100"/>
      <c r="M24" s="99">
        <f>Linearização!M24</f>
        <v>-0.08</v>
      </c>
      <c r="N24" s="99"/>
      <c r="O24" s="100">
        <f>Linearização!O24</f>
        <v>70.24521</v>
      </c>
      <c r="P24" s="100"/>
      <c r="Q24" s="99">
        <f>Linearização!Q24</f>
        <v>0.15</v>
      </c>
      <c r="R24" s="99"/>
      <c r="S24" s="104" t="str">
        <f>Linearização!S24</f>
        <v>APROVADO</v>
      </c>
      <c r="T24" s="105"/>
      <c r="U24" s="18"/>
      <c r="V24" s="36"/>
    </row>
    <row r="25" spans="2:22" x14ac:dyDescent="0.25">
      <c r="B25" s="5"/>
      <c r="C25" s="96">
        <f>Linearização!C25</f>
        <v>780</v>
      </c>
      <c r="D25" s="95"/>
      <c r="E25" s="95">
        <f>Linearização!E25</f>
        <v>15.231666666666667</v>
      </c>
      <c r="F25" s="95"/>
      <c r="G25" s="99">
        <f>Linearização!G25</f>
        <v>291805.28000000003</v>
      </c>
      <c r="H25" s="99"/>
      <c r="I25" s="99">
        <f>Linearização!I25</f>
        <v>291863.44</v>
      </c>
      <c r="J25" s="99"/>
      <c r="K25" s="100">
        <f>Linearização!K25</f>
        <v>0.99980000000000002</v>
      </c>
      <c r="L25" s="100"/>
      <c r="M25" s="99">
        <f>Linearização!M25</f>
        <v>0.02</v>
      </c>
      <c r="N25" s="99"/>
      <c r="O25" s="100">
        <f>Linearização!O25</f>
        <v>70.314059999999998</v>
      </c>
      <c r="P25" s="100"/>
      <c r="Q25" s="99">
        <f>Linearização!Q25</f>
        <v>0.15</v>
      </c>
      <c r="R25" s="99"/>
      <c r="S25" s="104" t="str">
        <f>Linearização!S25</f>
        <v>APROVADO</v>
      </c>
      <c r="T25" s="105"/>
      <c r="U25" s="18"/>
      <c r="V25" s="36"/>
    </row>
    <row r="26" spans="2:22" x14ac:dyDescent="0.25">
      <c r="B26" s="5"/>
      <c r="C26" s="96">
        <f>Linearização!C26</f>
        <v>950</v>
      </c>
      <c r="D26" s="95"/>
      <c r="E26" s="95">
        <f>Linearização!E26</f>
        <v>18.551388888888887</v>
      </c>
      <c r="F26" s="95"/>
      <c r="G26" s="99">
        <f>Linearização!G26</f>
        <v>291750.56</v>
      </c>
      <c r="H26" s="99"/>
      <c r="I26" s="99">
        <f>Linearização!I26</f>
        <v>291872.93</v>
      </c>
      <c r="J26" s="99"/>
      <c r="K26" s="100">
        <f>Linearização!K26</f>
        <v>0.99958000000000002</v>
      </c>
      <c r="L26" s="100"/>
      <c r="M26" s="99">
        <f>Linearização!M26</f>
        <v>0.04</v>
      </c>
      <c r="N26" s="99"/>
      <c r="O26" s="100">
        <f>Linearização!O26</f>
        <v>70.329539999999994</v>
      </c>
      <c r="P26" s="100"/>
      <c r="Q26" s="99">
        <f>Linearização!Q26</f>
        <v>0.15</v>
      </c>
      <c r="R26" s="99"/>
      <c r="S26" s="104" t="str">
        <f>Linearização!S26</f>
        <v>APROVADO</v>
      </c>
      <c r="T26" s="105"/>
      <c r="U26" s="18"/>
      <c r="V26" s="36"/>
    </row>
    <row r="27" spans="2:22" x14ac:dyDescent="0.25">
      <c r="B27" s="5"/>
      <c r="C27" s="96">
        <f>Linearização!C27</f>
        <v>1160</v>
      </c>
      <c r="D27" s="95"/>
      <c r="E27" s="95">
        <f>Linearização!E27</f>
        <v>22.652222222222221</v>
      </c>
      <c r="F27" s="95"/>
      <c r="G27" s="99">
        <f>Linearização!G27</f>
        <v>291644.07</v>
      </c>
      <c r="H27" s="99"/>
      <c r="I27" s="99">
        <f>Linearização!I27</f>
        <v>291778.09000000003</v>
      </c>
      <c r="J27" s="99"/>
      <c r="K27" s="100">
        <f>Linearização!K27</f>
        <v>0.99953999999999998</v>
      </c>
      <c r="L27" s="100"/>
      <c r="M27" s="99">
        <f>Linearização!M27</f>
        <v>0.05</v>
      </c>
      <c r="N27" s="99"/>
      <c r="O27" s="100">
        <f>Linearização!O27</f>
        <v>70.332350000000005</v>
      </c>
      <c r="P27" s="100"/>
      <c r="Q27" s="99">
        <f>Linearização!Q27</f>
        <v>0.15</v>
      </c>
      <c r="R27" s="99"/>
      <c r="S27" s="104" t="str">
        <f>Linearização!S27</f>
        <v>APROVADO</v>
      </c>
      <c r="T27" s="105"/>
      <c r="U27" s="18"/>
      <c r="V27" s="36"/>
    </row>
    <row r="28" spans="2:22" x14ac:dyDescent="0.25">
      <c r="B28" s="5"/>
      <c r="C28" s="96">
        <f>Linearização!C28</f>
        <v>1400</v>
      </c>
      <c r="D28" s="95"/>
      <c r="E28" s="95">
        <f>Linearização!E28</f>
        <v>27.338888888888889</v>
      </c>
      <c r="F28" s="95"/>
      <c r="G28" s="99">
        <f>Linearização!G28</f>
        <v>444736.19</v>
      </c>
      <c r="H28" s="99"/>
      <c r="I28" s="99">
        <f>Linearização!I28</f>
        <v>445234.71</v>
      </c>
      <c r="J28" s="99"/>
      <c r="K28" s="100">
        <f>Linearização!K28</f>
        <v>0.99887999999999999</v>
      </c>
      <c r="L28" s="100"/>
      <c r="M28" s="99">
        <f>Linearização!M28</f>
        <v>0.11</v>
      </c>
      <c r="N28" s="99"/>
      <c r="O28" s="100">
        <f>Linearização!O28</f>
        <v>70.378820000000005</v>
      </c>
      <c r="P28" s="100"/>
      <c r="Q28" s="99">
        <f>Linearização!Q28</f>
        <v>0.15</v>
      </c>
      <c r="R28" s="99"/>
      <c r="S28" s="104" t="str">
        <f>Linearização!S28</f>
        <v>APROVADO</v>
      </c>
      <c r="T28" s="105"/>
      <c r="U28" s="18"/>
      <c r="V28" s="36"/>
    </row>
    <row r="29" spans="2:22" x14ac:dyDescent="0.25">
      <c r="B29" s="5"/>
      <c r="C29" s="96">
        <f>Linearização!C29</f>
        <v>1700</v>
      </c>
      <c r="D29" s="95"/>
      <c r="E29" s="95">
        <f>Linearização!E29</f>
        <v>33.197222222222223</v>
      </c>
      <c r="F29" s="95"/>
      <c r="G29" s="99">
        <f>Linearização!G29</f>
        <v>443800.32000000001</v>
      </c>
      <c r="H29" s="99"/>
      <c r="I29" s="99">
        <f>Linearização!I29</f>
        <v>444324.32</v>
      </c>
      <c r="J29" s="99"/>
      <c r="K29" s="100">
        <f>Linearização!K29</f>
        <v>0.99882000000000004</v>
      </c>
      <c r="L29" s="100"/>
      <c r="M29" s="99">
        <f>Linearização!M29</f>
        <v>0.12</v>
      </c>
      <c r="N29" s="99"/>
      <c r="O29" s="100">
        <f>Linearização!O29</f>
        <v>70.383049999999997</v>
      </c>
      <c r="P29" s="100"/>
      <c r="Q29" s="99">
        <f>Linearização!Q29</f>
        <v>0.15</v>
      </c>
      <c r="R29" s="99"/>
      <c r="S29" s="104" t="str">
        <f>Linearização!S29</f>
        <v>APROVADO</v>
      </c>
      <c r="T29" s="105"/>
      <c r="U29" s="18"/>
      <c r="V29" s="36"/>
    </row>
    <row r="30" spans="2:22" x14ac:dyDescent="0.25">
      <c r="B30" s="5"/>
      <c r="C30" s="96">
        <f>Linearização!C30</f>
        <v>2060</v>
      </c>
      <c r="D30" s="95"/>
      <c r="E30" s="95">
        <f>Linearização!E30</f>
        <v>40.227222222222224</v>
      </c>
      <c r="F30" s="95"/>
      <c r="G30" s="99">
        <f>Linearização!G30</f>
        <v>443872.38</v>
      </c>
      <c r="H30" s="99"/>
      <c r="I30" s="99">
        <f>Linearização!I30</f>
        <v>444495.02</v>
      </c>
      <c r="J30" s="99"/>
      <c r="K30" s="100">
        <f>Linearização!K30</f>
        <v>0.99860000000000004</v>
      </c>
      <c r="L30" s="100"/>
      <c r="M30" s="99">
        <f>Linearização!M30</f>
        <v>0.14000000000000001</v>
      </c>
      <c r="N30" s="99"/>
      <c r="O30" s="100">
        <f>Linearização!O30</f>
        <v>70.398560000000003</v>
      </c>
      <c r="P30" s="100"/>
      <c r="Q30" s="99">
        <f>Linearização!Q30</f>
        <v>0.15</v>
      </c>
      <c r="R30" s="99"/>
      <c r="S30" s="104" t="str">
        <f>Linearização!S30</f>
        <v>APROVADO</v>
      </c>
      <c r="T30" s="105"/>
      <c r="U30" s="18"/>
      <c r="V30" s="36"/>
    </row>
    <row r="31" spans="2:22" ht="15.75" thickBot="1" x14ac:dyDescent="0.3">
      <c r="B31" s="5"/>
      <c r="C31" s="199">
        <f>Linearização!C31</f>
        <v>2500</v>
      </c>
      <c r="D31" s="106"/>
      <c r="E31" s="106">
        <f>Linearização!E31</f>
        <v>48.819444444444443</v>
      </c>
      <c r="F31" s="106"/>
      <c r="G31" s="109">
        <f>Linearização!G31</f>
        <v>442423.01</v>
      </c>
      <c r="H31" s="109"/>
      <c r="I31" s="109">
        <f>Linearização!I31</f>
        <v>443176.86</v>
      </c>
      <c r="J31" s="109"/>
      <c r="K31" s="110">
        <f>Linearização!K31</f>
        <v>0.99829999999999997</v>
      </c>
      <c r="L31" s="110"/>
      <c r="M31" s="109">
        <f>Linearização!M31</f>
        <v>0.17</v>
      </c>
      <c r="N31" s="109"/>
      <c r="O31" s="110">
        <f>Linearização!O31</f>
        <v>70.419709999999995</v>
      </c>
      <c r="P31" s="110"/>
      <c r="Q31" s="109">
        <f>Linearização!Q31</f>
        <v>0.15</v>
      </c>
      <c r="R31" s="109"/>
      <c r="S31" s="114" t="str">
        <f>Linearização!S31</f>
        <v>APROVADO</v>
      </c>
      <c r="T31" s="115"/>
      <c r="U31" s="18"/>
      <c r="V31" s="36"/>
    </row>
    <row r="32" spans="2:22" hidden="1" x14ac:dyDescent="0.25">
      <c r="B32" s="5"/>
      <c r="C32" s="177">
        <f>Linearização!C32</f>
        <v>0</v>
      </c>
      <c r="D32" s="86"/>
      <c r="E32" s="241">
        <f>Linearização!E32</f>
        <v>0</v>
      </c>
      <c r="F32" s="242"/>
      <c r="G32" s="145">
        <f>Linearização!G32</f>
        <v>0</v>
      </c>
      <c r="H32" s="146"/>
      <c r="I32" s="145">
        <f>Linearização!I32</f>
        <v>0</v>
      </c>
      <c r="J32" s="146"/>
      <c r="K32" s="231" t="str">
        <f>Linearização!K32</f>
        <v/>
      </c>
      <c r="L32" s="232"/>
      <c r="M32" s="177">
        <f>Linearização!M32</f>
        <v>0</v>
      </c>
      <c r="N32" s="86"/>
      <c r="O32" s="177" t="str">
        <f>Linearização!O32</f>
        <v/>
      </c>
      <c r="P32" s="86"/>
      <c r="Q32" s="177">
        <f>Linearização!Q32</f>
        <v>0</v>
      </c>
      <c r="R32" s="86"/>
      <c r="S32" s="245" t="str">
        <f>Linearização!S32</f>
        <v/>
      </c>
      <c r="T32" s="92"/>
      <c r="U32" s="18"/>
      <c r="V32" s="36"/>
    </row>
    <row r="33" spans="2:22" hidden="1" x14ac:dyDescent="0.25">
      <c r="B33" s="5"/>
      <c r="C33" s="177">
        <f>Linearização!C33</f>
        <v>0</v>
      </c>
      <c r="D33" s="86"/>
      <c r="E33" s="241">
        <f>Linearização!E33</f>
        <v>0</v>
      </c>
      <c r="F33" s="242"/>
      <c r="G33" s="145">
        <f>Linearização!G33</f>
        <v>0</v>
      </c>
      <c r="H33" s="146"/>
      <c r="I33" s="145">
        <f>Linearização!I33</f>
        <v>0</v>
      </c>
      <c r="J33" s="146"/>
      <c r="K33" s="231" t="str">
        <f>Linearização!K33</f>
        <v/>
      </c>
      <c r="L33" s="232"/>
      <c r="M33" s="177">
        <f>Linearização!M33</f>
        <v>0</v>
      </c>
      <c r="N33" s="86"/>
      <c r="O33" s="177" t="str">
        <f>Linearização!O33</f>
        <v/>
      </c>
      <c r="P33" s="86"/>
      <c r="Q33" s="177">
        <f>Linearização!Q33</f>
        <v>0</v>
      </c>
      <c r="R33" s="86"/>
      <c r="S33" s="243" t="str">
        <f>Linearização!S33</f>
        <v/>
      </c>
      <c r="T33" s="244"/>
      <c r="U33" s="18"/>
      <c r="V33" s="36"/>
    </row>
    <row r="34" spans="2:22" hidden="1" x14ac:dyDescent="0.25">
      <c r="B34" s="5"/>
      <c r="C34" s="177">
        <f>Linearização!C34</f>
        <v>0</v>
      </c>
      <c r="D34" s="86"/>
      <c r="E34" s="241">
        <f>Linearização!E34</f>
        <v>0</v>
      </c>
      <c r="F34" s="242"/>
      <c r="G34" s="145">
        <f>Linearização!G34</f>
        <v>0</v>
      </c>
      <c r="H34" s="146"/>
      <c r="I34" s="145">
        <f>Linearização!I34</f>
        <v>0</v>
      </c>
      <c r="J34" s="146"/>
      <c r="K34" s="231" t="str">
        <f>Linearização!K34</f>
        <v/>
      </c>
      <c r="L34" s="232"/>
      <c r="M34" s="177">
        <f>Linearização!M34</f>
        <v>0</v>
      </c>
      <c r="N34" s="86"/>
      <c r="O34" s="177" t="str">
        <f>Linearização!O34</f>
        <v/>
      </c>
      <c r="P34" s="86"/>
      <c r="Q34" s="177">
        <f>Linearização!Q34</f>
        <v>0</v>
      </c>
      <c r="R34" s="86"/>
      <c r="S34" s="243" t="str">
        <f>Linearização!S34</f>
        <v/>
      </c>
      <c r="T34" s="244"/>
      <c r="U34" s="18"/>
      <c r="V34" s="36"/>
    </row>
    <row r="35" spans="2:22" hidden="1" x14ac:dyDescent="0.25">
      <c r="B35" s="5"/>
      <c r="C35" s="177">
        <f>Linearização!C35</f>
        <v>0</v>
      </c>
      <c r="D35" s="86"/>
      <c r="E35" s="241">
        <f>Linearização!E35</f>
        <v>0</v>
      </c>
      <c r="F35" s="242"/>
      <c r="G35" s="145">
        <f>Linearização!G35</f>
        <v>0</v>
      </c>
      <c r="H35" s="146"/>
      <c r="I35" s="145">
        <f>Linearização!I35</f>
        <v>0</v>
      </c>
      <c r="J35" s="146"/>
      <c r="K35" s="231" t="str">
        <f>Linearização!K35</f>
        <v/>
      </c>
      <c r="L35" s="232"/>
      <c r="M35" s="177">
        <f>Linearização!M35</f>
        <v>0</v>
      </c>
      <c r="N35" s="86"/>
      <c r="O35" s="177" t="str">
        <f>Linearização!O35</f>
        <v/>
      </c>
      <c r="P35" s="86"/>
      <c r="Q35" s="177">
        <f>Linearização!Q35</f>
        <v>0</v>
      </c>
      <c r="R35" s="86"/>
      <c r="S35" s="243" t="str">
        <f>Linearização!S35</f>
        <v/>
      </c>
      <c r="T35" s="244"/>
      <c r="U35" s="18"/>
      <c r="V35" s="36"/>
    </row>
    <row r="36" spans="2:22" hidden="1" x14ac:dyDescent="0.25">
      <c r="B36" s="5"/>
      <c r="C36" s="177">
        <f>Linearização!C36</f>
        <v>0</v>
      </c>
      <c r="D36" s="86"/>
      <c r="E36" s="241">
        <f>Linearização!E36</f>
        <v>0</v>
      </c>
      <c r="F36" s="242"/>
      <c r="G36" s="145">
        <f>Linearização!G36</f>
        <v>0</v>
      </c>
      <c r="H36" s="146"/>
      <c r="I36" s="145">
        <f>Linearização!I36</f>
        <v>0</v>
      </c>
      <c r="J36" s="146"/>
      <c r="K36" s="231" t="str">
        <f>Linearização!K36</f>
        <v/>
      </c>
      <c r="L36" s="232"/>
      <c r="M36" s="177">
        <f>Linearização!M36</f>
        <v>0</v>
      </c>
      <c r="N36" s="86"/>
      <c r="O36" s="177" t="str">
        <f>Linearização!O36</f>
        <v/>
      </c>
      <c r="P36" s="86"/>
      <c r="Q36" s="177">
        <f>Linearização!Q36</f>
        <v>0</v>
      </c>
      <c r="R36" s="86"/>
      <c r="S36" s="243" t="str">
        <f>Linearização!S36</f>
        <v/>
      </c>
      <c r="T36" s="244"/>
      <c r="U36" s="18"/>
      <c r="V36" s="36"/>
    </row>
    <row r="37" spans="2:22" hidden="1" x14ac:dyDescent="0.25">
      <c r="B37" s="5"/>
      <c r="C37" s="177">
        <f>Linearização!C37</f>
        <v>0</v>
      </c>
      <c r="D37" s="86"/>
      <c r="E37" s="241">
        <f>Linearização!E37</f>
        <v>0</v>
      </c>
      <c r="F37" s="242"/>
      <c r="G37" s="145">
        <f>Linearização!G37</f>
        <v>0</v>
      </c>
      <c r="H37" s="146"/>
      <c r="I37" s="145">
        <f>Linearização!I37</f>
        <v>0</v>
      </c>
      <c r="J37" s="146"/>
      <c r="K37" s="231" t="str">
        <f>Linearização!K37</f>
        <v/>
      </c>
      <c r="L37" s="232"/>
      <c r="M37" s="177">
        <f>Linearização!M37</f>
        <v>0</v>
      </c>
      <c r="N37" s="86"/>
      <c r="O37" s="177" t="str">
        <f>Linearização!O37</f>
        <v/>
      </c>
      <c r="P37" s="86"/>
      <c r="Q37" s="177">
        <f>Linearização!Q37</f>
        <v>0</v>
      </c>
      <c r="R37" s="86"/>
      <c r="S37" s="243" t="str">
        <f>Linearização!S37</f>
        <v/>
      </c>
      <c r="T37" s="244"/>
      <c r="U37" s="18"/>
      <c r="V37" s="36"/>
    </row>
    <row r="38" spans="2:22" hidden="1" x14ac:dyDescent="0.25">
      <c r="B38" s="5"/>
      <c r="C38" s="177">
        <f>Linearização!C38</f>
        <v>0</v>
      </c>
      <c r="D38" s="86"/>
      <c r="E38" s="241">
        <f>Linearização!E38</f>
        <v>0</v>
      </c>
      <c r="F38" s="242"/>
      <c r="G38" s="145">
        <f>Linearização!G38</f>
        <v>0</v>
      </c>
      <c r="H38" s="146"/>
      <c r="I38" s="145">
        <f>Linearização!I38</f>
        <v>0</v>
      </c>
      <c r="J38" s="146"/>
      <c r="K38" s="231" t="str">
        <f>Linearização!K38</f>
        <v/>
      </c>
      <c r="L38" s="232"/>
      <c r="M38" s="177">
        <f>Linearização!M38</f>
        <v>0</v>
      </c>
      <c r="N38" s="86"/>
      <c r="O38" s="177" t="str">
        <f>Linearização!O38</f>
        <v/>
      </c>
      <c r="P38" s="86"/>
      <c r="Q38" s="177">
        <f>Linearização!Q38</f>
        <v>0</v>
      </c>
      <c r="R38" s="86"/>
      <c r="S38" s="243" t="str">
        <f>Linearização!S38</f>
        <v/>
      </c>
      <c r="T38" s="244"/>
      <c r="U38" s="18"/>
      <c r="V38" s="36"/>
    </row>
    <row r="39" spans="2:22" hidden="1" x14ac:dyDescent="0.25">
      <c r="B39" s="5"/>
      <c r="C39" s="177">
        <f>Linearização!C39</f>
        <v>0</v>
      </c>
      <c r="D39" s="86"/>
      <c r="E39" s="241">
        <f>Linearização!E39</f>
        <v>0</v>
      </c>
      <c r="F39" s="242"/>
      <c r="G39" s="145">
        <f>Linearização!G39</f>
        <v>0</v>
      </c>
      <c r="H39" s="146"/>
      <c r="I39" s="145">
        <f>Linearização!I39</f>
        <v>0</v>
      </c>
      <c r="J39" s="146"/>
      <c r="K39" s="231" t="str">
        <f>Linearização!K39</f>
        <v/>
      </c>
      <c r="L39" s="232"/>
      <c r="M39" s="177">
        <f>Linearização!M39</f>
        <v>0</v>
      </c>
      <c r="N39" s="86"/>
      <c r="O39" s="177" t="str">
        <f>Linearização!O39</f>
        <v/>
      </c>
      <c r="P39" s="86"/>
      <c r="Q39" s="177">
        <f>Linearização!Q39</f>
        <v>0</v>
      </c>
      <c r="R39" s="86"/>
      <c r="S39" s="243" t="str">
        <f>Linearização!S39</f>
        <v/>
      </c>
      <c r="T39" s="244"/>
      <c r="U39" s="18"/>
      <c r="V39" s="36"/>
    </row>
    <row r="40" spans="2:22" hidden="1" x14ac:dyDescent="0.25">
      <c r="B40" s="5"/>
      <c r="C40" s="177">
        <f>Linearização!C40</f>
        <v>0</v>
      </c>
      <c r="D40" s="86"/>
      <c r="E40" s="241">
        <f>Linearização!E40</f>
        <v>0</v>
      </c>
      <c r="F40" s="242"/>
      <c r="G40" s="145">
        <f>Linearização!G40</f>
        <v>0</v>
      </c>
      <c r="H40" s="146"/>
      <c r="I40" s="145">
        <f>Linearização!I40</f>
        <v>0</v>
      </c>
      <c r="J40" s="146"/>
      <c r="K40" s="231" t="str">
        <f>Linearização!K40</f>
        <v/>
      </c>
      <c r="L40" s="232"/>
      <c r="M40" s="177">
        <f>Linearização!M40</f>
        <v>0</v>
      </c>
      <c r="N40" s="86"/>
      <c r="O40" s="177" t="str">
        <f>Linearização!O40</f>
        <v/>
      </c>
      <c r="P40" s="86"/>
      <c r="Q40" s="177">
        <f>Linearização!Q40</f>
        <v>0</v>
      </c>
      <c r="R40" s="86"/>
      <c r="S40" s="243" t="str">
        <f>Linearização!S40</f>
        <v/>
      </c>
      <c r="T40" s="244"/>
      <c r="U40" s="18"/>
      <c r="V40" s="36"/>
    </row>
    <row r="41" spans="2:22" ht="15.75" hidden="1" thickBot="1" x14ac:dyDescent="0.3">
      <c r="B41" s="5"/>
      <c r="C41" s="268">
        <f>Linearização!C41</f>
        <v>0</v>
      </c>
      <c r="D41" s="192"/>
      <c r="E41" s="266">
        <f>Linearização!E41</f>
        <v>0</v>
      </c>
      <c r="F41" s="267"/>
      <c r="G41" s="269">
        <f>Linearização!G41</f>
        <v>0</v>
      </c>
      <c r="H41" s="270"/>
      <c r="I41" s="269">
        <f>Linearização!I41</f>
        <v>0</v>
      </c>
      <c r="J41" s="270"/>
      <c r="K41" s="271" t="str">
        <f>Linearização!K41</f>
        <v/>
      </c>
      <c r="L41" s="272"/>
      <c r="M41" s="268">
        <f>Linearização!M41</f>
        <v>0</v>
      </c>
      <c r="N41" s="192"/>
      <c r="O41" s="268" t="str">
        <f>Linearização!O41</f>
        <v/>
      </c>
      <c r="P41" s="192"/>
      <c r="Q41" s="268">
        <f>Linearização!Q41</f>
        <v>0</v>
      </c>
      <c r="R41" s="192"/>
      <c r="S41" s="273" t="str">
        <f>Linearização!S41</f>
        <v/>
      </c>
      <c r="T41" s="254"/>
      <c r="U41" s="18"/>
      <c r="V41" s="36"/>
    </row>
    <row r="42" spans="2:22" ht="15.75" thickBot="1" x14ac:dyDescent="0.3">
      <c r="B42" s="5"/>
      <c r="U42" s="6"/>
    </row>
    <row r="43" spans="2:22" ht="19.5" thickBot="1" x14ac:dyDescent="0.3">
      <c r="B43" s="5"/>
      <c r="C43" s="128" t="s">
        <v>25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30"/>
      <c r="U43" s="6"/>
    </row>
    <row r="44" spans="2:22" x14ac:dyDescent="0.25">
      <c r="B44" s="5"/>
      <c r="U44" s="6"/>
    </row>
    <row r="45" spans="2:22" x14ac:dyDescent="0.25">
      <c r="B45" s="5"/>
      <c r="C45" s="160" t="s">
        <v>72</v>
      </c>
      <c r="D45" s="160"/>
      <c r="E45" s="160"/>
      <c r="F45" s="160"/>
      <c r="G45" s="19"/>
      <c r="H45" s="19"/>
      <c r="I45" s="160" t="s">
        <v>53</v>
      </c>
      <c r="J45" s="160"/>
      <c r="K45" s="160"/>
      <c r="L45" s="160"/>
      <c r="M45" s="160" t="s">
        <v>52</v>
      </c>
      <c r="N45" s="160"/>
      <c r="O45" s="160"/>
      <c r="P45" s="160"/>
      <c r="U45" s="6"/>
    </row>
    <row r="46" spans="2:22" x14ac:dyDescent="0.25">
      <c r="B46" s="5"/>
      <c r="U46" s="6"/>
    </row>
    <row r="47" spans="2:22" x14ac:dyDescent="0.25">
      <c r="B47" s="5"/>
      <c r="C47" s="2" t="s">
        <v>56</v>
      </c>
      <c r="I47" s="2" t="s">
        <v>55</v>
      </c>
      <c r="M47" s="2" t="s">
        <v>54</v>
      </c>
      <c r="U47" s="6"/>
    </row>
    <row r="48" spans="2:22" x14ac:dyDescent="0.25">
      <c r="B48" s="5"/>
      <c r="C48" s="2" t="s">
        <v>26</v>
      </c>
      <c r="I48" s="2" t="s">
        <v>40</v>
      </c>
      <c r="M48" s="2" t="s">
        <v>27</v>
      </c>
      <c r="U48" s="6"/>
    </row>
    <row r="49" spans="2:21 16383:16384" x14ac:dyDescent="0.25">
      <c r="B49" s="5"/>
      <c r="C49" s="2" t="s">
        <v>28</v>
      </c>
      <c r="I49" s="2" t="s">
        <v>41</v>
      </c>
      <c r="M49" s="2" t="s">
        <v>29</v>
      </c>
      <c r="U49" s="6"/>
    </row>
    <row r="50" spans="2:21 16383:16384" x14ac:dyDescent="0.25">
      <c r="B50" s="5"/>
      <c r="C50" s="2" t="s">
        <v>30</v>
      </c>
      <c r="I50" s="180"/>
      <c r="J50" s="180"/>
      <c r="K50" s="180"/>
      <c r="U50" s="6"/>
    </row>
    <row r="51" spans="2:21 16383:16384" x14ac:dyDescent="0.25">
      <c r="B51" s="5"/>
      <c r="U51" s="6"/>
    </row>
    <row r="52" spans="2:21 16383:16384" hidden="1" x14ac:dyDescent="0.25">
      <c r="B52" s="5"/>
      <c r="C52" s="162" t="s">
        <v>31</v>
      </c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4"/>
      <c r="U52" s="6"/>
    </row>
    <row r="53" spans="2:21 16383:16384" ht="15.75" hidden="1" thickBot="1" x14ac:dyDescent="0.3">
      <c r="B53" s="5"/>
      <c r="C53" s="165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7"/>
      <c r="U53" s="6"/>
    </row>
    <row r="54" spans="2:21 16383:16384" ht="19.5" hidden="1" thickBot="1" x14ac:dyDescent="0.3">
      <c r="B54" s="5"/>
      <c r="C54" s="26"/>
      <c r="D54" s="26"/>
      <c r="E54" s="26"/>
      <c r="F54" s="26"/>
      <c r="G54" s="26"/>
      <c r="H54" s="26"/>
      <c r="I54" s="25"/>
      <c r="J54" s="25"/>
      <c r="K54" s="25"/>
      <c r="L54" s="25"/>
      <c r="M54" s="25"/>
      <c r="N54" s="26"/>
      <c r="O54" s="26"/>
      <c r="P54" s="26"/>
      <c r="Q54" s="26"/>
      <c r="R54" s="26"/>
      <c r="S54" s="26"/>
      <c r="T54" s="26"/>
      <c r="U54" s="6"/>
    </row>
    <row r="55" spans="2:21 16383:16384" ht="15.75" hidden="1" thickBot="1" x14ac:dyDescent="0.3">
      <c r="B55" s="5"/>
      <c r="H55" s="43" t="s">
        <v>43</v>
      </c>
      <c r="I55" s="246" t="s">
        <v>18</v>
      </c>
      <c r="J55" s="247"/>
      <c r="K55" s="51" t="s">
        <v>19</v>
      </c>
      <c r="L55" s="246" t="s">
        <v>22</v>
      </c>
      <c r="M55" s="247"/>
      <c r="U55" s="6"/>
    </row>
    <row r="56" spans="2:21 16383:16384" ht="15.75" hidden="1" thickBot="1" x14ac:dyDescent="0.3">
      <c r="B56" s="5"/>
      <c r="H56" s="47">
        <v>1</v>
      </c>
      <c r="I56" s="248">
        <f>C22</f>
        <v>440</v>
      </c>
      <c r="J56" s="249"/>
      <c r="K56" s="44">
        <f>E22</f>
        <v>8.5922222222222224</v>
      </c>
      <c r="L56" s="250">
        <f>O22</f>
        <v>70.184200000000004</v>
      </c>
      <c r="M56" s="251"/>
      <c r="U56" s="6"/>
      <c r="XFC56" s="230" t="s">
        <v>20</v>
      </c>
      <c r="XFD56" s="230"/>
    </row>
    <row r="57" spans="2:21 16383:16384" hidden="1" x14ac:dyDescent="0.25">
      <c r="B57" s="5"/>
      <c r="H57" s="48">
        <v>2</v>
      </c>
      <c r="I57" s="252">
        <f>C23</f>
        <v>530</v>
      </c>
      <c r="J57" s="244"/>
      <c r="K57" s="45">
        <f>E23</f>
        <v>10.349722222222223</v>
      </c>
      <c r="L57" s="89">
        <f>O23</f>
        <v>70.222750000000005</v>
      </c>
      <c r="M57" s="90"/>
      <c r="U57" s="6"/>
      <c r="XFC57" s="227">
        <f>K22</f>
        <v>1.0016499999999999</v>
      </c>
      <c r="XFD57" s="227"/>
    </row>
    <row r="58" spans="2:21 16383:16384" hidden="1" x14ac:dyDescent="0.25">
      <c r="B58" s="5"/>
      <c r="H58" s="48">
        <v>3</v>
      </c>
      <c r="I58" s="252">
        <f>C24</f>
        <v>640</v>
      </c>
      <c r="J58" s="244"/>
      <c r="K58" s="45">
        <f>E24</f>
        <v>12.497777777777777</v>
      </c>
      <c r="L58" s="207">
        <f>O24</f>
        <v>70.24521</v>
      </c>
      <c r="M58" s="208"/>
      <c r="U58" s="6"/>
      <c r="XFC58" s="227">
        <f>K23</f>
        <v>1.0011000000000001</v>
      </c>
      <c r="XFD58" s="227"/>
    </row>
    <row r="59" spans="2:21 16383:16384" hidden="1" x14ac:dyDescent="0.25">
      <c r="B59" s="5"/>
      <c r="H59" s="48">
        <v>4</v>
      </c>
      <c r="I59" s="252">
        <f>C25</f>
        <v>780</v>
      </c>
      <c r="J59" s="244"/>
      <c r="K59" s="45">
        <f>E25</f>
        <v>15.231666666666667</v>
      </c>
      <c r="L59" s="207">
        <f>O25</f>
        <v>70.314059999999998</v>
      </c>
      <c r="M59" s="208"/>
      <c r="U59" s="6"/>
      <c r="XFC59" s="227">
        <f>K24</f>
        <v>1.00078</v>
      </c>
      <c r="XFD59" s="227"/>
    </row>
    <row r="60" spans="2:21 16383:16384" hidden="1" x14ac:dyDescent="0.25">
      <c r="B60" s="5"/>
      <c r="H60" s="48">
        <v>5</v>
      </c>
      <c r="I60" s="252">
        <f>C26</f>
        <v>950</v>
      </c>
      <c r="J60" s="244"/>
      <c r="K60" s="45">
        <f>E26</f>
        <v>18.551388888888887</v>
      </c>
      <c r="L60" s="207">
        <f>O26</f>
        <v>70.329539999999994</v>
      </c>
      <c r="M60" s="208"/>
      <c r="U60" s="6"/>
      <c r="XFC60" s="227">
        <f>K25</f>
        <v>0.99980000000000002</v>
      </c>
      <c r="XFD60" s="227"/>
    </row>
    <row r="61" spans="2:21 16383:16384" hidden="1" x14ac:dyDescent="0.25">
      <c r="B61" s="5"/>
      <c r="H61" s="48">
        <v>6</v>
      </c>
      <c r="I61" s="252" t="e">
        <f>#REF!</f>
        <v>#REF!</v>
      </c>
      <c r="J61" s="244"/>
      <c r="K61" s="45" t="e">
        <f>#REF!</f>
        <v>#REF!</v>
      </c>
      <c r="L61" s="207" t="e">
        <f>#REF!</f>
        <v>#REF!</v>
      </c>
      <c r="M61" s="208"/>
      <c r="U61" s="6"/>
      <c r="XFC61" s="227">
        <f>K26</f>
        <v>0.99958000000000002</v>
      </c>
      <c r="XFD61" s="227"/>
    </row>
    <row r="62" spans="2:21 16383:16384" ht="15.75" hidden="1" thickBot="1" x14ac:dyDescent="0.3">
      <c r="B62" s="5"/>
      <c r="H62" s="49">
        <v>7</v>
      </c>
      <c r="I62" s="253" t="e">
        <f>#REF!</f>
        <v>#REF!</v>
      </c>
      <c r="J62" s="254"/>
      <c r="K62" s="45" t="e">
        <f>#REF!</f>
        <v>#REF!</v>
      </c>
      <c r="L62" s="207" t="e">
        <f>#REF!</f>
        <v>#REF!</v>
      </c>
      <c r="M62" s="208"/>
      <c r="U62" s="6"/>
      <c r="XFC62" s="227" t="e">
        <f>#REF!</f>
        <v>#REF!</v>
      </c>
      <c r="XFD62" s="227"/>
    </row>
    <row r="63" spans="2:21 16383:16384" ht="14.45" hidden="1" customHeight="1" x14ac:dyDescent="0.25">
      <c r="B63" s="5"/>
      <c r="I63" s="245"/>
      <c r="J63" s="92"/>
      <c r="K63" s="46"/>
      <c r="L63" s="37"/>
      <c r="M63" s="38"/>
      <c r="U63" s="6"/>
      <c r="XFC63" s="229"/>
      <c r="XFD63" s="229"/>
    </row>
    <row r="64" spans="2:21 16383:16384" ht="14.45" hidden="1" customHeight="1" thickBot="1" x14ac:dyDescent="0.3">
      <c r="B64" s="5"/>
      <c r="I64" s="243"/>
      <c r="J64" s="244"/>
      <c r="K64" s="42"/>
      <c r="L64" s="37"/>
      <c r="M64" s="38"/>
      <c r="U64" s="6"/>
      <c r="XFC64" s="229"/>
      <c r="XFD64" s="229"/>
    </row>
    <row r="65" spans="2:21 16383:16384" ht="14.45" hidden="1" customHeight="1" thickBot="1" x14ac:dyDescent="0.3">
      <c r="B65" s="5"/>
      <c r="I65" s="245"/>
      <c r="J65" s="92"/>
      <c r="K65" s="42"/>
      <c r="L65" s="37"/>
      <c r="M65" s="38"/>
      <c r="U65" s="6"/>
      <c r="XFC65" s="229"/>
      <c r="XFD65" s="229"/>
    </row>
    <row r="66" spans="2:21 16383:16384" ht="14.45" hidden="1" customHeight="1" thickBot="1" x14ac:dyDescent="0.3">
      <c r="B66" s="5"/>
      <c r="I66" s="245"/>
      <c r="J66" s="92"/>
      <c r="K66" s="42"/>
      <c r="L66" s="37"/>
      <c r="M66" s="38"/>
      <c r="U66" s="6"/>
      <c r="XFC66" s="229"/>
      <c r="XFD66" s="229"/>
    </row>
    <row r="67" spans="2:21 16383:16384" ht="14.45" hidden="1" customHeight="1" thickBot="1" x14ac:dyDescent="0.3">
      <c r="B67" s="5"/>
      <c r="I67" s="243"/>
      <c r="J67" s="244"/>
      <c r="K67" s="42"/>
      <c r="L67" s="37"/>
      <c r="M67" s="38"/>
      <c r="U67" s="6"/>
      <c r="XFC67" s="229"/>
      <c r="XFD67" s="229"/>
    </row>
    <row r="68" spans="2:21 16383:16384" ht="14.45" hidden="1" customHeight="1" thickBot="1" x14ac:dyDescent="0.3">
      <c r="B68" s="5"/>
      <c r="I68" s="243"/>
      <c r="J68" s="244"/>
      <c r="K68" s="42"/>
      <c r="L68" s="37"/>
      <c r="M68" s="38"/>
      <c r="U68" s="6"/>
      <c r="XFC68" s="229"/>
      <c r="XFD68" s="229"/>
    </row>
    <row r="69" spans="2:21 16383:16384" ht="14.45" hidden="1" customHeight="1" thickBot="1" x14ac:dyDescent="0.3">
      <c r="B69" s="5"/>
      <c r="I69" s="243"/>
      <c r="J69" s="244"/>
      <c r="K69" s="42"/>
      <c r="L69" s="37"/>
      <c r="M69" s="38"/>
      <c r="U69" s="6"/>
      <c r="XFC69" s="229"/>
      <c r="XFD69" s="229"/>
    </row>
    <row r="70" spans="2:21 16383:16384" ht="14.45" hidden="1" customHeight="1" thickBot="1" x14ac:dyDescent="0.3">
      <c r="B70" s="5"/>
      <c r="I70" s="243"/>
      <c r="J70" s="244"/>
      <c r="K70" s="42"/>
      <c r="L70" s="37"/>
      <c r="M70" s="38"/>
      <c r="U70" s="6"/>
      <c r="XFC70" s="229"/>
      <c r="XFD70" s="229"/>
    </row>
    <row r="71" spans="2:21 16383:16384" ht="14.45" hidden="1" customHeight="1" thickBot="1" x14ac:dyDescent="0.3">
      <c r="B71" s="5"/>
      <c r="I71" s="243"/>
      <c r="J71" s="244"/>
      <c r="K71" s="42"/>
      <c r="L71" s="37"/>
      <c r="M71" s="38"/>
      <c r="U71" s="6"/>
      <c r="XFC71" s="229"/>
      <c r="XFD71" s="229"/>
    </row>
    <row r="72" spans="2:21 16383:16384" ht="14.45" hidden="1" customHeight="1" thickBot="1" x14ac:dyDescent="0.3">
      <c r="B72" s="5"/>
      <c r="I72" s="243"/>
      <c r="J72" s="244"/>
      <c r="K72" s="42"/>
      <c r="L72" s="37"/>
      <c r="M72" s="38"/>
      <c r="U72" s="6"/>
      <c r="XFC72" s="229"/>
      <c r="XFD72" s="229"/>
    </row>
    <row r="73" spans="2:21 16383:16384" ht="14.45" hidden="1" customHeight="1" thickBot="1" x14ac:dyDescent="0.3">
      <c r="B73" s="5"/>
      <c r="I73" s="243"/>
      <c r="J73" s="244"/>
      <c r="K73" s="42"/>
      <c r="L73" s="37"/>
      <c r="M73" s="38"/>
      <c r="U73" s="6"/>
      <c r="XFC73" s="229"/>
      <c r="XFD73" s="229"/>
    </row>
    <row r="74" spans="2:21 16383:16384" ht="14.45" hidden="1" customHeight="1" thickBot="1" x14ac:dyDescent="0.3">
      <c r="B74" s="5"/>
      <c r="I74" s="243"/>
      <c r="J74" s="244"/>
      <c r="K74" s="42"/>
      <c r="L74" s="37"/>
      <c r="M74" s="38"/>
      <c r="U74" s="6"/>
      <c r="XFC74" s="229"/>
      <c r="XFD74" s="229"/>
    </row>
    <row r="75" spans="2:21 16383:16384" ht="15.75" hidden="1" thickBot="1" x14ac:dyDescent="0.3">
      <c r="B75" s="5"/>
      <c r="K75" s="53" t="s">
        <v>37</v>
      </c>
      <c r="L75" s="255" t="e">
        <f>AVERAGE(L56:M62)</f>
        <v>#REF!</v>
      </c>
      <c r="M75" s="256"/>
      <c r="U75" s="6"/>
      <c r="XFC75" s="228"/>
      <c r="XFD75" s="228"/>
    </row>
    <row r="76" spans="2:21 16383:16384" ht="15.75" hidden="1" thickBot="1" x14ac:dyDescent="0.3">
      <c r="B76" s="5"/>
      <c r="K76" s="39"/>
      <c r="L76" s="40"/>
      <c r="M76" s="40"/>
      <c r="U76" s="6"/>
      <c r="XFC76" s="36"/>
      <c r="XFD76" s="36"/>
    </row>
    <row r="77" spans="2:21 16383:16384" ht="15.75" hidden="1" thickBot="1" x14ac:dyDescent="0.3">
      <c r="B77" s="5"/>
      <c r="H77" s="215" t="s">
        <v>38</v>
      </c>
      <c r="I77" s="216"/>
      <c r="J77" s="216"/>
      <c r="K77" s="216"/>
      <c r="L77" s="216"/>
      <c r="M77" s="217"/>
      <c r="U77" s="6"/>
      <c r="XFC77" s="36"/>
      <c r="XFD77" s="36"/>
    </row>
    <row r="78" spans="2:21 16383:16384" ht="14.45" hidden="1" customHeight="1" x14ac:dyDescent="0.25">
      <c r="B78" s="5"/>
      <c r="H78" s="218" t="s">
        <v>39</v>
      </c>
      <c r="I78" s="211"/>
      <c r="J78" s="220">
        <f>I56</f>
        <v>440</v>
      </c>
      <c r="K78" s="211" t="s">
        <v>45</v>
      </c>
      <c r="L78" s="211"/>
      <c r="M78" s="213" t="e">
        <f>I62</f>
        <v>#REF!</v>
      </c>
      <c r="U78" s="6"/>
      <c r="XFC78" s="36"/>
      <c r="XFD78" s="36"/>
    </row>
    <row r="79" spans="2:21 16383:16384" ht="15.75" hidden="1" thickBot="1" x14ac:dyDescent="0.3">
      <c r="B79" s="5"/>
      <c r="H79" s="219"/>
      <c r="I79" s="212"/>
      <c r="J79" s="221"/>
      <c r="K79" s="212"/>
      <c r="L79" s="212"/>
      <c r="M79" s="214"/>
      <c r="U79" s="6"/>
    </row>
    <row r="80" spans="2:21 16383:16384" ht="15.75" thickBot="1" x14ac:dyDescent="0.3">
      <c r="B80" s="5"/>
      <c r="I80" s="50"/>
      <c r="J80" s="41"/>
      <c r="K80" s="41"/>
      <c r="L80" s="59"/>
      <c r="M80" s="59"/>
      <c r="U80" s="6"/>
    </row>
    <row r="81" spans="2:23" x14ac:dyDescent="0.25">
      <c r="B81" s="5"/>
      <c r="C81" s="162" t="s">
        <v>46</v>
      </c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4"/>
      <c r="U81" s="6"/>
    </row>
    <row r="82" spans="2:23" ht="15.75" thickBot="1" x14ac:dyDescent="0.3">
      <c r="B82" s="5"/>
      <c r="C82" s="165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7"/>
      <c r="U82" s="6"/>
    </row>
    <row r="83" spans="2:23" x14ac:dyDescent="0.25">
      <c r="B83" s="5"/>
      <c r="M83" s="59"/>
      <c r="U83" s="6"/>
    </row>
    <row r="84" spans="2:23" ht="15.75" thickBot="1" x14ac:dyDescent="0.3">
      <c r="B84" s="5"/>
      <c r="U84" s="6"/>
    </row>
    <row r="85" spans="2:23" ht="15" customHeight="1" thickBot="1" x14ac:dyDescent="0.3">
      <c r="B85" s="5"/>
      <c r="G85" s="259" t="s">
        <v>66</v>
      </c>
      <c r="H85" s="260"/>
      <c r="I85" s="259" t="str">
        <f>M9</f>
        <v>LMV 49874-26</v>
      </c>
      <c r="J85" s="260"/>
      <c r="U85" s="6"/>
    </row>
    <row r="86" spans="2:23" ht="33.75" customHeight="1" thickBot="1" x14ac:dyDescent="0.3">
      <c r="B86" s="5"/>
      <c r="E86" s="264" t="s">
        <v>18</v>
      </c>
      <c r="F86" s="262"/>
      <c r="G86" s="261" t="s">
        <v>49</v>
      </c>
      <c r="H86" s="262"/>
      <c r="I86" s="261" t="s">
        <v>48</v>
      </c>
      <c r="J86" s="262"/>
      <c r="K86" s="71" t="s">
        <v>47</v>
      </c>
      <c r="L86" s="261" t="s">
        <v>51</v>
      </c>
      <c r="M86" s="262"/>
      <c r="N86" s="261" t="s">
        <v>24</v>
      </c>
      <c r="O86" s="263"/>
      <c r="U86" s="6"/>
      <c r="W86" s="6"/>
    </row>
    <row r="87" spans="2:23" x14ac:dyDescent="0.25">
      <c r="B87" s="5"/>
      <c r="E87" s="265">
        <f>C22</f>
        <v>440</v>
      </c>
      <c r="F87" s="120"/>
      <c r="G87" s="123">
        <v>1.00186</v>
      </c>
      <c r="H87" s="123"/>
      <c r="I87" s="123">
        <f>K22</f>
        <v>1.0016499999999999</v>
      </c>
      <c r="J87" s="123"/>
      <c r="K87" s="83">
        <f>IFERROR(ROUND((I87-G87)/G87,4),"")</f>
        <v>-2.0000000000000001E-4</v>
      </c>
      <c r="L87" s="258" t="str">
        <f>IFERROR(IF(OR($D$12="FISCAL",$D$12="TRANSFERÊNCIA DE CUSTÓDIA"),IF(ABS(K87)&gt;0.0025,ROUND(I87/G87,5),"-"),IF(ABS(K87)&gt;0.02,ROUND(I87/G87,5),"-")),"")</f>
        <v>-</v>
      </c>
      <c r="M87" s="258"/>
      <c r="N87" s="120" t="str">
        <f>IFERROR(IF(OR($D$12="FISCAL",$D$12="TRANSFERÊNCIA DE CUSTÓDIA"),IF(ABS(K87)&gt;0.0025,"REPROVADO","APROVADO"),IF(ABS(K87)&gt;0.02,"REPROVADO","APROVADO")),"")</f>
        <v>APROVADO</v>
      </c>
      <c r="O87" s="257"/>
      <c r="Q87" s="75"/>
      <c r="U87" s="6"/>
      <c r="W87" s="6"/>
    </row>
    <row r="88" spans="2:23" x14ac:dyDescent="0.25">
      <c r="B88" s="5"/>
      <c r="E88" s="147">
        <f t="shared" ref="E88:E102" si="0">C23</f>
        <v>530</v>
      </c>
      <c r="F88" s="99"/>
      <c r="G88" s="100">
        <v>1.00159</v>
      </c>
      <c r="H88" s="100"/>
      <c r="I88" s="100">
        <f t="shared" ref="I88:I106" si="1">K23</f>
        <v>1.0011000000000001</v>
      </c>
      <c r="J88" s="100"/>
      <c r="K88" s="82">
        <f t="shared" ref="K88:K106" si="2">IFERROR(ROUND((I88-G88)/G88,4),"")</f>
        <v>-5.0000000000000001E-4</v>
      </c>
      <c r="L88" s="239" t="str">
        <f t="shared" ref="L88:L106" si="3">IFERROR(IF(OR($D$12="FISCAL",$D$12="TRANSFERÊNCIA DE CUSTÓDIA"),IF(ABS(K88)&gt;0.0025,ROUND(I88/G88,5),"-"),IF(ABS(K88)&gt;0.02,ROUND(I88/G88,5),"-")),"")</f>
        <v>-</v>
      </c>
      <c r="M88" s="239"/>
      <c r="N88" s="99" t="str">
        <f t="shared" ref="N88:N106" si="4">IFERROR(IF(OR($D$12="FISCAL",$D$12="TRANSFERÊNCIA DE CUSTÓDIA"),IF(ABS(K88)&gt;0.0025,"REPROVADO","APROVADO"),IF(ABS(K88)&gt;0.02,"REPROVADO","APROVADO")),"")</f>
        <v>APROVADO</v>
      </c>
      <c r="O88" s="148"/>
      <c r="Q88" s="75"/>
      <c r="U88" s="6"/>
      <c r="W88" s="6"/>
    </row>
    <row r="89" spans="2:23" x14ac:dyDescent="0.25">
      <c r="B89" s="5"/>
      <c r="E89" s="147">
        <f t="shared" si="0"/>
        <v>640</v>
      </c>
      <c r="F89" s="99"/>
      <c r="G89" s="100">
        <v>1.00126</v>
      </c>
      <c r="H89" s="100"/>
      <c r="I89" s="100">
        <f t="shared" si="1"/>
        <v>1.00078</v>
      </c>
      <c r="J89" s="100"/>
      <c r="K89" s="82">
        <f t="shared" si="2"/>
        <v>-5.0000000000000001E-4</v>
      </c>
      <c r="L89" s="239" t="str">
        <f t="shared" si="3"/>
        <v>-</v>
      </c>
      <c r="M89" s="239"/>
      <c r="N89" s="99" t="str">
        <f t="shared" si="4"/>
        <v>APROVADO</v>
      </c>
      <c r="O89" s="148"/>
      <c r="Q89" s="75"/>
      <c r="U89" s="6"/>
      <c r="W89" s="6"/>
    </row>
    <row r="90" spans="2:23" x14ac:dyDescent="0.25">
      <c r="B90" s="5"/>
      <c r="E90" s="147">
        <f t="shared" si="0"/>
        <v>780</v>
      </c>
      <c r="F90" s="99"/>
      <c r="G90" s="100">
        <v>1.0009300000000001</v>
      </c>
      <c r="H90" s="100"/>
      <c r="I90" s="100">
        <f t="shared" si="1"/>
        <v>0.99980000000000002</v>
      </c>
      <c r="J90" s="100"/>
      <c r="K90" s="82">
        <f t="shared" si="2"/>
        <v>-1.1000000000000001E-3</v>
      </c>
      <c r="L90" s="239" t="str">
        <f t="shared" si="3"/>
        <v>-</v>
      </c>
      <c r="M90" s="239"/>
      <c r="N90" s="99" t="str">
        <f t="shared" si="4"/>
        <v>APROVADO</v>
      </c>
      <c r="O90" s="148"/>
      <c r="Q90" s="75"/>
      <c r="U90" s="6"/>
      <c r="W90" s="6"/>
    </row>
    <row r="91" spans="2:23" x14ac:dyDescent="0.25">
      <c r="B91" s="5"/>
      <c r="E91" s="147">
        <f t="shared" si="0"/>
        <v>950</v>
      </c>
      <c r="F91" s="99"/>
      <c r="G91" s="100">
        <v>1.0007299999999999</v>
      </c>
      <c r="H91" s="100"/>
      <c r="I91" s="100">
        <f t="shared" si="1"/>
        <v>0.99958000000000002</v>
      </c>
      <c r="J91" s="100"/>
      <c r="K91" s="82">
        <f t="shared" si="2"/>
        <v>-1.1000000000000001E-3</v>
      </c>
      <c r="L91" s="239" t="str">
        <f t="shared" si="3"/>
        <v>-</v>
      </c>
      <c r="M91" s="239"/>
      <c r="N91" s="99" t="str">
        <f t="shared" si="4"/>
        <v>APROVADO</v>
      </c>
      <c r="O91" s="148"/>
      <c r="Q91" s="75"/>
      <c r="U91" s="6"/>
      <c r="W91" s="6"/>
    </row>
    <row r="92" spans="2:23" x14ac:dyDescent="0.25">
      <c r="B92" s="5"/>
      <c r="E92" s="147">
        <f t="shared" si="0"/>
        <v>1160</v>
      </c>
      <c r="F92" s="99"/>
      <c r="G92" s="100">
        <v>1.0003</v>
      </c>
      <c r="H92" s="100"/>
      <c r="I92" s="100">
        <f t="shared" si="1"/>
        <v>0.99953999999999998</v>
      </c>
      <c r="J92" s="100"/>
      <c r="K92" s="82">
        <f t="shared" si="2"/>
        <v>-8.0000000000000004E-4</v>
      </c>
      <c r="L92" s="239" t="str">
        <f t="shared" si="3"/>
        <v>-</v>
      </c>
      <c r="M92" s="239"/>
      <c r="N92" s="99" t="str">
        <f t="shared" si="4"/>
        <v>APROVADO</v>
      </c>
      <c r="O92" s="148"/>
      <c r="Q92" s="75"/>
      <c r="U92" s="6"/>
      <c r="W92" s="6"/>
    </row>
    <row r="93" spans="2:23" x14ac:dyDescent="0.25">
      <c r="B93" s="5"/>
      <c r="E93" s="147">
        <f t="shared" si="0"/>
        <v>1400</v>
      </c>
      <c r="F93" s="99"/>
      <c r="G93" s="100">
        <v>0.99963000000000002</v>
      </c>
      <c r="H93" s="100"/>
      <c r="I93" s="100">
        <f t="shared" si="1"/>
        <v>0.99887999999999999</v>
      </c>
      <c r="J93" s="100"/>
      <c r="K93" s="82">
        <f t="shared" si="2"/>
        <v>-8.0000000000000004E-4</v>
      </c>
      <c r="L93" s="239" t="str">
        <f t="shared" si="3"/>
        <v>-</v>
      </c>
      <c r="M93" s="239"/>
      <c r="N93" s="99" t="str">
        <f t="shared" si="4"/>
        <v>APROVADO</v>
      </c>
      <c r="O93" s="148"/>
      <c r="Q93" s="75"/>
      <c r="U93" s="6"/>
      <c r="W93" s="6"/>
    </row>
    <row r="94" spans="2:23" x14ac:dyDescent="0.25">
      <c r="B94" s="5"/>
      <c r="E94" s="147">
        <f t="shared" si="0"/>
        <v>1700</v>
      </c>
      <c r="F94" s="99"/>
      <c r="G94" s="100">
        <v>0.99978999999999996</v>
      </c>
      <c r="H94" s="100"/>
      <c r="I94" s="100">
        <f t="shared" si="1"/>
        <v>0.99882000000000004</v>
      </c>
      <c r="J94" s="100"/>
      <c r="K94" s="82">
        <f t="shared" si="2"/>
        <v>-1E-3</v>
      </c>
      <c r="L94" s="239" t="str">
        <f t="shared" si="3"/>
        <v>-</v>
      </c>
      <c r="M94" s="239"/>
      <c r="N94" s="99" t="str">
        <f t="shared" si="4"/>
        <v>APROVADO</v>
      </c>
      <c r="O94" s="148"/>
      <c r="Q94" s="75"/>
      <c r="U94" s="6"/>
      <c r="W94" s="6"/>
    </row>
    <row r="95" spans="2:23" x14ac:dyDescent="0.25">
      <c r="B95" s="5"/>
      <c r="E95" s="147">
        <f t="shared" si="0"/>
        <v>2060</v>
      </c>
      <c r="F95" s="99"/>
      <c r="G95" s="100">
        <v>0.99953999999999998</v>
      </c>
      <c r="H95" s="100"/>
      <c r="I95" s="100">
        <f t="shared" si="1"/>
        <v>0.99860000000000004</v>
      </c>
      <c r="J95" s="100"/>
      <c r="K95" s="82">
        <f t="shared" si="2"/>
        <v>-8.9999999999999998E-4</v>
      </c>
      <c r="L95" s="239" t="str">
        <f t="shared" si="3"/>
        <v>-</v>
      </c>
      <c r="M95" s="239"/>
      <c r="N95" s="99" t="str">
        <f t="shared" si="4"/>
        <v>APROVADO</v>
      </c>
      <c r="O95" s="148"/>
      <c r="Q95" s="75"/>
      <c r="U95" s="6"/>
      <c r="W95" s="6"/>
    </row>
    <row r="96" spans="2:23" ht="15.75" thickBot="1" x14ac:dyDescent="0.3">
      <c r="B96" s="5"/>
      <c r="E96" s="187">
        <f t="shared" si="0"/>
        <v>2500</v>
      </c>
      <c r="F96" s="109"/>
      <c r="G96" s="110">
        <v>0.99931000000000003</v>
      </c>
      <c r="H96" s="110"/>
      <c r="I96" s="110">
        <f t="shared" si="1"/>
        <v>0.99829999999999997</v>
      </c>
      <c r="J96" s="110"/>
      <c r="K96" s="84">
        <f t="shared" si="2"/>
        <v>-1E-3</v>
      </c>
      <c r="L96" s="240" t="str">
        <f t="shared" si="3"/>
        <v>-</v>
      </c>
      <c r="M96" s="240"/>
      <c r="N96" s="109" t="str">
        <f t="shared" si="4"/>
        <v>APROVADO</v>
      </c>
      <c r="O96" s="188"/>
      <c r="U96" s="6"/>
      <c r="W96" s="6"/>
    </row>
    <row r="97" spans="2:23" hidden="1" x14ac:dyDescent="0.25">
      <c r="B97" s="5"/>
      <c r="E97" s="89">
        <f t="shared" si="0"/>
        <v>0</v>
      </c>
      <c r="F97" s="90"/>
      <c r="G97" s="143"/>
      <c r="H97" s="144"/>
      <c r="I97" s="143" t="str">
        <f t="shared" si="1"/>
        <v/>
      </c>
      <c r="J97" s="144"/>
      <c r="K97" s="67" t="str">
        <f t="shared" si="2"/>
        <v/>
      </c>
      <c r="L97" s="237" t="str">
        <f t="shared" si="3"/>
        <v/>
      </c>
      <c r="M97" s="238"/>
      <c r="N97" s="89" t="str">
        <f t="shared" si="4"/>
        <v/>
      </c>
      <c r="O97" s="90"/>
      <c r="U97" s="6"/>
      <c r="W97" s="6"/>
    </row>
    <row r="98" spans="2:23" hidden="1" x14ac:dyDescent="0.25">
      <c r="B98" s="5"/>
      <c r="E98" s="207">
        <f t="shared" si="0"/>
        <v>0</v>
      </c>
      <c r="F98" s="208"/>
      <c r="G98" s="87"/>
      <c r="H98" s="88"/>
      <c r="I98" s="87" t="str">
        <f t="shared" si="1"/>
        <v/>
      </c>
      <c r="J98" s="88"/>
      <c r="K98" s="54" t="str">
        <f t="shared" si="2"/>
        <v/>
      </c>
      <c r="L98" s="233" t="str">
        <f t="shared" si="3"/>
        <v/>
      </c>
      <c r="M98" s="234"/>
      <c r="N98" s="207" t="str">
        <f t="shared" si="4"/>
        <v/>
      </c>
      <c r="O98" s="208"/>
      <c r="U98" s="6"/>
      <c r="W98" s="6"/>
    </row>
    <row r="99" spans="2:23" hidden="1" x14ac:dyDescent="0.25">
      <c r="B99" s="5"/>
      <c r="E99" s="207">
        <f t="shared" si="0"/>
        <v>0</v>
      </c>
      <c r="F99" s="208"/>
      <c r="G99" s="87"/>
      <c r="H99" s="88"/>
      <c r="I99" s="87" t="str">
        <f t="shared" si="1"/>
        <v/>
      </c>
      <c r="J99" s="88"/>
      <c r="K99" s="54" t="str">
        <f t="shared" si="2"/>
        <v/>
      </c>
      <c r="L99" s="233" t="str">
        <f t="shared" si="3"/>
        <v/>
      </c>
      <c r="M99" s="234"/>
      <c r="N99" s="207" t="str">
        <f t="shared" si="4"/>
        <v/>
      </c>
      <c r="O99" s="208"/>
      <c r="U99" s="6"/>
      <c r="W99" s="6"/>
    </row>
    <row r="100" spans="2:23" hidden="1" x14ac:dyDescent="0.25">
      <c r="B100" s="5"/>
      <c r="E100" s="207">
        <f t="shared" si="0"/>
        <v>0</v>
      </c>
      <c r="F100" s="208"/>
      <c r="G100" s="87"/>
      <c r="H100" s="88"/>
      <c r="I100" s="87" t="str">
        <f t="shared" si="1"/>
        <v/>
      </c>
      <c r="J100" s="88"/>
      <c r="K100" s="54" t="str">
        <f t="shared" si="2"/>
        <v/>
      </c>
      <c r="L100" s="233" t="str">
        <f t="shared" si="3"/>
        <v/>
      </c>
      <c r="M100" s="234"/>
      <c r="N100" s="207" t="str">
        <f t="shared" si="4"/>
        <v/>
      </c>
      <c r="O100" s="208"/>
      <c r="U100" s="6"/>
      <c r="W100" s="6"/>
    </row>
    <row r="101" spans="2:23" hidden="1" x14ac:dyDescent="0.25">
      <c r="B101" s="5"/>
      <c r="E101" s="207">
        <f t="shared" si="0"/>
        <v>0</v>
      </c>
      <c r="F101" s="208"/>
      <c r="G101" s="87"/>
      <c r="H101" s="88"/>
      <c r="I101" s="87" t="str">
        <f t="shared" si="1"/>
        <v/>
      </c>
      <c r="J101" s="88"/>
      <c r="K101" s="54" t="str">
        <f t="shared" si="2"/>
        <v/>
      </c>
      <c r="L101" s="233" t="str">
        <f t="shared" si="3"/>
        <v/>
      </c>
      <c r="M101" s="234"/>
      <c r="N101" s="207" t="str">
        <f t="shared" si="4"/>
        <v/>
      </c>
      <c r="O101" s="208"/>
      <c r="U101" s="6"/>
      <c r="W101" s="6"/>
    </row>
    <row r="102" spans="2:23" hidden="1" x14ac:dyDescent="0.25">
      <c r="B102" s="5"/>
      <c r="E102" s="207">
        <f t="shared" si="0"/>
        <v>0</v>
      </c>
      <c r="F102" s="208"/>
      <c r="G102" s="87"/>
      <c r="H102" s="88"/>
      <c r="I102" s="87" t="str">
        <f t="shared" si="1"/>
        <v/>
      </c>
      <c r="J102" s="88"/>
      <c r="K102" s="54" t="str">
        <f t="shared" si="2"/>
        <v/>
      </c>
      <c r="L102" s="233" t="str">
        <f t="shared" si="3"/>
        <v/>
      </c>
      <c r="M102" s="234"/>
      <c r="N102" s="207" t="str">
        <f t="shared" si="4"/>
        <v/>
      </c>
      <c r="O102" s="208"/>
      <c r="U102" s="6"/>
      <c r="W102" s="6"/>
    </row>
    <row r="103" spans="2:23" hidden="1" x14ac:dyDescent="0.25">
      <c r="B103" s="5"/>
      <c r="E103" s="207">
        <f>C38</f>
        <v>0</v>
      </c>
      <c r="F103" s="208"/>
      <c r="G103" s="87"/>
      <c r="H103" s="88"/>
      <c r="I103" s="87" t="str">
        <f t="shared" si="1"/>
        <v/>
      </c>
      <c r="J103" s="88"/>
      <c r="K103" s="54" t="str">
        <f t="shared" si="2"/>
        <v/>
      </c>
      <c r="L103" s="233" t="str">
        <f t="shared" si="3"/>
        <v/>
      </c>
      <c r="M103" s="234"/>
      <c r="N103" s="207" t="str">
        <f t="shared" si="4"/>
        <v/>
      </c>
      <c r="O103" s="208"/>
      <c r="U103" s="6"/>
      <c r="W103" s="6"/>
    </row>
    <row r="104" spans="2:23" hidden="1" x14ac:dyDescent="0.25">
      <c r="B104" s="5"/>
      <c r="E104" s="207">
        <f t="shared" ref="E104" si="5">C39</f>
        <v>0</v>
      </c>
      <c r="F104" s="208"/>
      <c r="G104" s="87"/>
      <c r="H104" s="88"/>
      <c r="I104" s="87" t="str">
        <f t="shared" si="1"/>
        <v/>
      </c>
      <c r="J104" s="88"/>
      <c r="K104" s="54" t="str">
        <f t="shared" si="2"/>
        <v/>
      </c>
      <c r="L104" s="233" t="str">
        <f t="shared" si="3"/>
        <v/>
      </c>
      <c r="M104" s="234"/>
      <c r="N104" s="207" t="str">
        <f t="shared" si="4"/>
        <v/>
      </c>
      <c r="O104" s="208"/>
      <c r="U104" s="6"/>
      <c r="W104" s="6"/>
    </row>
    <row r="105" spans="2:23" hidden="1" x14ac:dyDescent="0.25">
      <c r="B105" s="5"/>
      <c r="E105" s="207">
        <f>C40</f>
        <v>0</v>
      </c>
      <c r="F105" s="208"/>
      <c r="G105" s="87"/>
      <c r="H105" s="88"/>
      <c r="I105" s="87" t="str">
        <f t="shared" si="1"/>
        <v/>
      </c>
      <c r="J105" s="88"/>
      <c r="K105" s="54" t="str">
        <f t="shared" si="2"/>
        <v/>
      </c>
      <c r="L105" s="233" t="str">
        <f t="shared" si="3"/>
        <v/>
      </c>
      <c r="M105" s="234"/>
      <c r="N105" s="207" t="str">
        <f t="shared" si="4"/>
        <v/>
      </c>
      <c r="O105" s="208"/>
      <c r="U105" s="6"/>
      <c r="W105" s="6"/>
    </row>
    <row r="106" spans="2:23" ht="15.75" hidden="1" thickBot="1" x14ac:dyDescent="0.3">
      <c r="B106" s="5"/>
      <c r="E106" s="209">
        <f>C41</f>
        <v>0</v>
      </c>
      <c r="F106" s="210"/>
      <c r="G106" s="169"/>
      <c r="H106" s="170"/>
      <c r="I106" s="169" t="str">
        <f t="shared" si="1"/>
        <v/>
      </c>
      <c r="J106" s="170"/>
      <c r="K106" s="55" t="str">
        <f t="shared" si="2"/>
        <v/>
      </c>
      <c r="L106" s="235" t="str">
        <f t="shared" si="3"/>
        <v/>
      </c>
      <c r="M106" s="236"/>
      <c r="N106" s="209" t="str">
        <f t="shared" si="4"/>
        <v/>
      </c>
      <c r="O106" s="210"/>
      <c r="U106" s="6"/>
      <c r="W106" s="6"/>
    </row>
    <row r="107" spans="2:23" x14ac:dyDescent="0.25">
      <c r="B107" s="5"/>
      <c r="U107" s="6"/>
    </row>
    <row r="108" spans="2:23" x14ac:dyDescent="0.25">
      <c r="B108" s="5"/>
      <c r="U108" s="6"/>
    </row>
    <row r="109" spans="2:23" ht="15.75" thickBot="1" x14ac:dyDescent="0.3">
      <c r="B109" s="5"/>
      <c r="I109" s="41"/>
      <c r="J109" s="41"/>
      <c r="K109" s="41"/>
      <c r="L109" s="41"/>
      <c r="M109" s="41"/>
      <c r="U109" s="6"/>
    </row>
    <row r="110" spans="2:23" ht="19.5" thickBot="1" x14ac:dyDescent="0.3">
      <c r="B110" s="5"/>
      <c r="C110" s="204" t="s">
        <v>32</v>
      </c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6"/>
      <c r="U110" s="6"/>
    </row>
    <row r="111" spans="2:23" ht="14.45" customHeight="1" x14ac:dyDescent="0.25">
      <c r="B111" s="5"/>
      <c r="C111" s="200" t="s">
        <v>33</v>
      </c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6"/>
    </row>
    <row r="112" spans="2:23" x14ac:dyDescent="0.25">
      <c r="B112" s="5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6"/>
    </row>
    <row r="113" spans="2:21" ht="14.45" customHeight="1" x14ac:dyDescent="0.25">
      <c r="B113" s="5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6"/>
    </row>
    <row r="114" spans="2:21" hidden="1" x14ac:dyDescent="0.25">
      <c r="B114" s="5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6"/>
    </row>
    <row r="115" spans="2:21" ht="13.5" customHeight="1" x14ac:dyDescent="0.25">
      <c r="B115" s="5"/>
      <c r="U115" s="6"/>
    </row>
    <row r="116" spans="2:21" hidden="1" x14ac:dyDescent="0.25">
      <c r="B116" s="5"/>
      <c r="U116" s="6"/>
    </row>
    <row r="117" spans="2:21" hidden="1" x14ac:dyDescent="0.25">
      <c r="B117" s="5"/>
      <c r="U117" s="6"/>
    </row>
    <row r="118" spans="2:21" ht="15.95" customHeight="1" x14ac:dyDescent="0.25">
      <c r="B118" s="5"/>
      <c r="F118" s="23" t="s">
        <v>34</v>
      </c>
      <c r="G118" s="23"/>
      <c r="H118" s="23"/>
      <c r="I118" s="23"/>
      <c r="J118" s="27"/>
      <c r="K118" s="27"/>
      <c r="L118" s="28"/>
      <c r="M118" s="23"/>
      <c r="N118" s="23" t="s">
        <v>35</v>
      </c>
      <c r="O118" s="23"/>
      <c r="P118" s="23"/>
      <c r="Q118" s="28"/>
      <c r="U118" s="6"/>
    </row>
    <row r="119" spans="2:21" ht="15.75" hidden="1" x14ac:dyDescent="0.25">
      <c r="B119" s="5"/>
      <c r="F119" s="23"/>
      <c r="G119" s="23"/>
      <c r="H119" s="23"/>
      <c r="I119" s="23"/>
      <c r="J119" s="27"/>
      <c r="K119" s="27"/>
      <c r="L119" s="28"/>
      <c r="M119" s="23"/>
      <c r="N119" s="23"/>
      <c r="O119" s="23"/>
      <c r="P119" s="23"/>
      <c r="Q119" s="28"/>
      <c r="U119" s="6"/>
    </row>
    <row r="120" spans="2:21" ht="15.75" hidden="1" x14ac:dyDescent="0.25">
      <c r="B120" s="5"/>
      <c r="F120" s="23"/>
      <c r="G120" s="23"/>
      <c r="H120" s="23"/>
      <c r="I120" s="23"/>
      <c r="J120" s="27"/>
      <c r="K120" s="27"/>
      <c r="L120" s="28"/>
      <c r="M120" s="23"/>
      <c r="N120" s="23"/>
      <c r="O120" s="23"/>
      <c r="P120" s="23"/>
      <c r="Q120" s="28"/>
      <c r="U120" s="6"/>
    </row>
    <row r="121" spans="2:21" ht="15.95" customHeight="1" x14ac:dyDescent="0.25">
      <c r="B121" s="5"/>
      <c r="F121" s="23"/>
      <c r="G121" s="23"/>
      <c r="H121" s="23"/>
      <c r="I121" s="23"/>
      <c r="J121" s="27"/>
      <c r="K121" s="27"/>
      <c r="L121" s="28"/>
      <c r="M121" s="23"/>
      <c r="N121" s="23"/>
      <c r="O121" s="23"/>
      <c r="P121" s="23"/>
      <c r="Q121" s="28"/>
      <c r="U121" s="6"/>
    </row>
    <row r="122" spans="2:21" ht="15.75" hidden="1" x14ac:dyDescent="0.25">
      <c r="B122" s="5"/>
      <c r="F122" s="29"/>
      <c r="G122" s="29"/>
      <c r="H122" s="29"/>
      <c r="I122" s="29"/>
      <c r="J122" s="23"/>
      <c r="K122" s="23"/>
      <c r="L122" s="23"/>
      <c r="M122" s="23"/>
      <c r="N122" s="29"/>
      <c r="O122" s="29"/>
      <c r="P122" s="29"/>
      <c r="Q122" s="29"/>
      <c r="U122" s="6"/>
    </row>
    <row r="123" spans="2:21" ht="15.95" customHeight="1" x14ac:dyDescent="0.25">
      <c r="B123" s="5"/>
      <c r="F123" s="203" t="str">
        <f>Linearização!F96</f>
        <v>Carolina Bastos</v>
      </c>
      <c r="G123" s="203"/>
      <c r="H123" s="203"/>
      <c r="I123" s="203"/>
      <c r="J123" s="30"/>
      <c r="K123" s="30"/>
      <c r="L123" s="23"/>
      <c r="M123" s="23"/>
      <c r="N123" s="201" t="str">
        <f>Linearização!N96</f>
        <v>Vanessa Vieira</v>
      </c>
      <c r="O123" s="201"/>
      <c r="P123" s="201"/>
      <c r="Q123" s="201"/>
      <c r="U123" s="6"/>
    </row>
    <row r="124" spans="2:21" ht="15.75" hidden="1" x14ac:dyDescent="0.25">
      <c r="B124" s="5"/>
      <c r="F124" s="202"/>
      <c r="G124" s="202"/>
      <c r="H124" s="202"/>
      <c r="I124" s="202"/>
      <c r="J124" s="30"/>
      <c r="K124" s="30"/>
      <c r="L124" s="23"/>
      <c r="M124" s="23"/>
      <c r="N124" s="31"/>
      <c r="O124" s="31"/>
      <c r="P124" s="31"/>
      <c r="Q124" s="31"/>
      <c r="U124" s="6"/>
    </row>
    <row r="125" spans="2:21" ht="15.95" customHeight="1" x14ac:dyDescent="0.25">
      <c r="B125" s="5"/>
      <c r="F125" s="202">
        <f>Linearização!F98</f>
        <v>46141</v>
      </c>
      <c r="G125" s="202"/>
      <c r="H125" s="202"/>
      <c r="I125" s="202"/>
      <c r="J125" s="23"/>
      <c r="K125" s="23"/>
      <c r="L125" s="23"/>
      <c r="M125" s="23"/>
      <c r="N125" s="202">
        <f>F125</f>
        <v>46141</v>
      </c>
      <c r="O125" s="202"/>
      <c r="P125" s="202"/>
      <c r="Q125" s="202"/>
      <c r="U125" s="6"/>
    </row>
    <row r="126" spans="2:21" x14ac:dyDescent="0.25">
      <c r="B126" s="5"/>
      <c r="U126" s="6"/>
    </row>
    <row r="127" spans="2:21" ht="15.75" thickBot="1" x14ac:dyDescent="0.3"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/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</sheetData>
  <mergeCells count="390">
    <mergeCell ref="L105:M105"/>
    <mergeCell ref="N100:O100"/>
    <mergeCell ref="N101:O101"/>
    <mergeCell ref="N102:O102"/>
    <mergeCell ref="N103:O103"/>
    <mergeCell ref="N104:O104"/>
    <mergeCell ref="N105:O105"/>
    <mergeCell ref="S35:T35"/>
    <mergeCell ref="S36:T36"/>
    <mergeCell ref="S37:T37"/>
    <mergeCell ref="S38:T38"/>
    <mergeCell ref="S39:T39"/>
    <mergeCell ref="S40:T40"/>
    <mergeCell ref="S41:T41"/>
    <mergeCell ref="Q35:R35"/>
    <mergeCell ref="Q36:R36"/>
    <mergeCell ref="Q37:R37"/>
    <mergeCell ref="Q38:R38"/>
    <mergeCell ref="Q39:R39"/>
    <mergeCell ref="Q40:R40"/>
    <mergeCell ref="Q41:R41"/>
    <mergeCell ref="M40:N40"/>
    <mergeCell ref="M41:N41"/>
    <mergeCell ref="L89:M89"/>
    <mergeCell ref="D19:E19"/>
    <mergeCell ref="E100:F100"/>
    <mergeCell ref="G100:H100"/>
    <mergeCell ref="I100:J100"/>
    <mergeCell ref="L100:M100"/>
    <mergeCell ref="O35:P35"/>
    <mergeCell ref="O36:P36"/>
    <mergeCell ref="O37:P37"/>
    <mergeCell ref="O38:P38"/>
    <mergeCell ref="O39:P39"/>
    <mergeCell ref="O40:P40"/>
    <mergeCell ref="O41:P41"/>
    <mergeCell ref="K35:L35"/>
    <mergeCell ref="K36:L36"/>
    <mergeCell ref="K37:L37"/>
    <mergeCell ref="K38:L38"/>
    <mergeCell ref="K39:L39"/>
    <mergeCell ref="K40:L40"/>
    <mergeCell ref="K41:L41"/>
    <mergeCell ref="M35:N35"/>
    <mergeCell ref="M36:N36"/>
    <mergeCell ref="M37:N37"/>
    <mergeCell ref="M38:N38"/>
    <mergeCell ref="M39:N39"/>
    <mergeCell ref="G35:H35"/>
    <mergeCell ref="G36:H36"/>
    <mergeCell ref="G37:H37"/>
    <mergeCell ref="G38:H38"/>
    <mergeCell ref="G39:H39"/>
    <mergeCell ref="G40:H40"/>
    <mergeCell ref="G41:H41"/>
    <mergeCell ref="I35:J35"/>
    <mergeCell ref="I36:J36"/>
    <mergeCell ref="I37:J37"/>
    <mergeCell ref="I38:J38"/>
    <mergeCell ref="I39:J39"/>
    <mergeCell ref="I40:J40"/>
    <mergeCell ref="I41:J41"/>
    <mergeCell ref="E35:F35"/>
    <mergeCell ref="E36:F36"/>
    <mergeCell ref="E37:F37"/>
    <mergeCell ref="E38:F38"/>
    <mergeCell ref="E39:F39"/>
    <mergeCell ref="E40:F40"/>
    <mergeCell ref="E41:F41"/>
    <mergeCell ref="C35:D35"/>
    <mergeCell ref="C36:D36"/>
    <mergeCell ref="C37:D37"/>
    <mergeCell ref="C38:D38"/>
    <mergeCell ref="C39:D39"/>
    <mergeCell ref="C40:D40"/>
    <mergeCell ref="C41:D41"/>
    <mergeCell ref="F124:I124"/>
    <mergeCell ref="F125:I125"/>
    <mergeCell ref="N125:Q125"/>
    <mergeCell ref="C110:T110"/>
    <mergeCell ref="C111:T112"/>
    <mergeCell ref="E90:F90"/>
    <mergeCell ref="E89:F89"/>
    <mergeCell ref="E88:F88"/>
    <mergeCell ref="E87:F87"/>
    <mergeCell ref="C113:T114"/>
    <mergeCell ref="F123:I123"/>
    <mergeCell ref="N123:Q123"/>
    <mergeCell ref="G89:H89"/>
    <mergeCell ref="I89:J89"/>
    <mergeCell ref="N89:O89"/>
    <mergeCell ref="G90:H90"/>
    <mergeCell ref="I90:J90"/>
    <mergeCell ref="N90:O90"/>
    <mergeCell ref="L90:M90"/>
    <mergeCell ref="E101:F101"/>
    <mergeCell ref="E102:F102"/>
    <mergeCell ref="E103:F103"/>
    <mergeCell ref="E104:F104"/>
    <mergeCell ref="E105:F105"/>
    <mergeCell ref="G87:H87"/>
    <mergeCell ref="I87:J87"/>
    <mergeCell ref="N87:O87"/>
    <mergeCell ref="G88:H88"/>
    <mergeCell ref="I88:J88"/>
    <mergeCell ref="N88:O88"/>
    <mergeCell ref="L88:M88"/>
    <mergeCell ref="L87:M87"/>
    <mergeCell ref="C81:T82"/>
    <mergeCell ref="I85:J85"/>
    <mergeCell ref="G86:H86"/>
    <mergeCell ref="I86:J86"/>
    <mergeCell ref="N86:O86"/>
    <mergeCell ref="G85:H85"/>
    <mergeCell ref="E86:F86"/>
    <mergeCell ref="L86:M86"/>
    <mergeCell ref="L75:M75"/>
    <mergeCell ref="XFC75:XFD75"/>
    <mergeCell ref="H77:M77"/>
    <mergeCell ref="H78:I79"/>
    <mergeCell ref="J78:J79"/>
    <mergeCell ref="K78:L79"/>
    <mergeCell ref="M78:M79"/>
    <mergeCell ref="I72:J72"/>
    <mergeCell ref="XFC72:XFD72"/>
    <mergeCell ref="I73:J73"/>
    <mergeCell ref="XFC73:XFD73"/>
    <mergeCell ref="I74:J74"/>
    <mergeCell ref="XFC74:XFD74"/>
    <mergeCell ref="I69:J69"/>
    <mergeCell ref="XFC69:XFD69"/>
    <mergeCell ref="I70:J70"/>
    <mergeCell ref="XFC70:XFD70"/>
    <mergeCell ref="I71:J71"/>
    <mergeCell ref="XFC71:XFD71"/>
    <mergeCell ref="I66:J66"/>
    <mergeCell ref="XFC66:XFD66"/>
    <mergeCell ref="I67:J67"/>
    <mergeCell ref="XFC67:XFD67"/>
    <mergeCell ref="I68:J68"/>
    <mergeCell ref="XFC68:XFD68"/>
    <mergeCell ref="I63:J63"/>
    <mergeCell ref="XFC63:XFD63"/>
    <mergeCell ref="I64:J64"/>
    <mergeCell ref="XFC64:XFD64"/>
    <mergeCell ref="I65:J65"/>
    <mergeCell ref="XFC65:XFD65"/>
    <mergeCell ref="I61:J61"/>
    <mergeCell ref="L61:M61"/>
    <mergeCell ref="XFC61:XFD61"/>
    <mergeCell ref="I62:J62"/>
    <mergeCell ref="L62:M62"/>
    <mergeCell ref="XFC62:XFD62"/>
    <mergeCell ref="I59:J59"/>
    <mergeCell ref="L59:M59"/>
    <mergeCell ref="XFC59:XFD59"/>
    <mergeCell ref="I60:J60"/>
    <mergeCell ref="L60:M60"/>
    <mergeCell ref="XFC60:XFD60"/>
    <mergeCell ref="I57:J57"/>
    <mergeCell ref="L57:M57"/>
    <mergeCell ref="XFC57:XFD57"/>
    <mergeCell ref="I58:J58"/>
    <mergeCell ref="L58:M58"/>
    <mergeCell ref="XFC58:XFD58"/>
    <mergeCell ref="C52:T53"/>
    <mergeCell ref="I55:J55"/>
    <mergeCell ref="L55:M55"/>
    <mergeCell ref="I56:J56"/>
    <mergeCell ref="L56:M56"/>
    <mergeCell ref="XFC56:XFD56"/>
    <mergeCell ref="C43:T43"/>
    <mergeCell ref="C45:F45"/>
    <mergeCell ref="I45:L45"/>
    <mergeCell ref="M45:P45"/>
    <mergeCell ref="I50:K50"/>
    <mergeCell ref="O26:P26"/>
    <mergeCell ref="Q26:R26"/>
    <mergeCell ref="S26:T26"/>
    <mergeCell ref="C26:D26"/>
    <mergeCell ref="E26:F26"/>
    <mergeCell ref="G26:H26"/>
    <mergeCell ref="I26:J26"/>
    <mergeCell ref="K26:L26"/>
    <mergeCell ref="M26:N26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S21:T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C21:D21"/>
    <mergeCell ref="E21:F21"/>
    <mergeCell ref="G21:H21"/>
    <mergeCell ref="I21:J21"/>
    <mergeCell ref="K21:L21"/>
    <mergeCell ref="M21:N21"/>
    <mergeCell ref="O21:P21"/>
    <mergeCell ref="Q21:R21"/>
    <mergeCell ref="K11:L11"/>
    <mergeCell ref="M11:T11"/>
    <mergeCell ref="D12:G12"/>
    <mergeCell ref="K12:L12"/>
    <mergeCell ref="M12:T12"/>
    <mergeCell ref="D15:G15"/>
    <mergeCell ref="K15:L15"/>
    <mergeCell ref="M15:T15"/>
    <mergeCell ref="C17:T17"/>
    <mergeCell ref="B2:U5"/>
    <mergeCell ref="C7:T7"/>
    <mergeCell ref="D9:G9"/>
    <mergeCell ref="K9:L9"/>
    <mergeCell ref="M9:T9"/>
    <mergeCell ref="D10:G10"/>
    <mergeCell ref="K10:L10"/>
    <mergeCell ref="M10:T10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D13:G13"/>
    <mergeCell ref="K13:L13"/>
    <mergeCell ref="M13:T13"/>
    <mergeCell ref="D14:G14"/>
    <mergeCell ref="K14:L14"/>
    <mergeCell ref="M14:T14"/>
    <mergeCell ref="D11:G11"/>
    <mergeCell ref="S28:T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C28:D28"/>
    <mergeCell ref="E28:F28"/>
    <mergeCell ref="G28:H28"/>
    <mergeCell ref="I28:J28"/>
    <mergeCell ref="K28:L28"/>
    <mergeCell ref="M28:N28"/>
    <mergeCell ref="O28:P28"/>
    <mergeCell ref="Q28:R28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E91:F91"/>
    <mergeCell ref="G91:H91"/>
    <mergeCell ref="I91:J91"/>
    <mergeCell ref="L91:M91"/>
    <mergeCell ref="N91:O91"/>
    <mergeCell ref="E92:F92"/>
    <mergeCell ref="G92:H92"/>
    <mergeCell ref="I92:J92"/>
    <mergeCell ref="L92:M92"/>
    <mergeCell ref="N92:O92"/>
    <mergeCell ref="E93:F93"/>
    <mergeCell ref="G93:H93"/>
    <mergeCell ref="I93:J93"/>
    <mergeCell ref="L93:M93"/>
    <mergeCell ref="N93:O93"/>
    <mergeCell ref="E94:F94"/>
    <mergeCell ref="G94:H94"/>
    <mergeCell ref="I94:J94"/>
    <mergeCell ref="L94:M94"/>
    <mergeCell ref="N94:O94"/>
    <mergeCell ref="E95:F95"/>
    <mergeCell ref="G95:H95"/>
    <mergeCell ref="I95:J95"/>
    <mergeCell ref="L95:M95"/>
    <mergeCell ref="N95:O95"/>
    <mergeCell ref="E96:F96"/>
    <mergeCell ref="G96:H96"/>
    <mergeCell ref="I96:J96"/>
    <mergeCell ref="L96:M96"/>
    <mergeCell ref="N96:O96"/>
    <mergeCell ref="E97:F97"/>
    <mergeCell ref="G97:H97"/>
    <mergeCell ref="I97:J97"/>
    <mergeCell ref="L97:M97"/>
    <mergeCell ref="N97:O97"/>
    <mergeCell ref="E98:F98"/>
    <mergeCell ref="G98:H98"/>
    <mergeCell ref="I98:J98"/>
    <mergeCell ref="L98:M98"/>
    <mergeCell ref="N98:O98"/>
    <mergeCell ref="E99:F99"/>
    <mergeCell ref="G99:H99"/>
    <mergeCell ref="I99:J99"/>
    <mergeCell ref="L99:M99"/>
    <mergeCell ref="N99:O99"/>
    <mergeCell ref="E106:F106"/>
    <mergeCell ref="G106:H106"/>
    <mergeCell ref="I106:J106"/>
    <mergeCell ref="L106:M106"/>
    <mergeCell ref="N106:O106"/>
    <mergeCell ref="G101:H101"/>
    <mergeCell ref="G102:H102"/>
    <mergeCell ref="G103:H103"/>
    <mergeCell ref="G104:H104"/>
    <mergeCell ref="G105:H105"/>
    <mergeCell ref="I101:J101"/>
    <mergeCell ref="I102:J102"/>
    <mergeCell ref="I103:J103"/>
    <mergeCell ref="I104:J104"/>
    <mergeCell ref="I105:J105"/>
    <mergeCell ref="L101:M101"/>
    <mergeCell ref="L102:M102"/>
    <mergeCell ref="L103:M103"/>
    <mergeCell ref="L104:M104"/>
  </mergeCells>
  <conditionalFormatting sqref="N87:O106">
    <cfRule type="cellIs" dxfId="4" priority="1" operator="equal">
      <formula>"REPROVADO"</formula>
    </cfRule>
    <cfRule type="cellIs" dxfId="3" priority="2" operator="equal">
      <formula>"APROVADO"</formula>
    </cfRule>
  </conditionalFormatting>
  <conditionalFormatting sqref="S22:T41">
    <cfRule type="cellIs" dxfId="2" priority="3" operator="equal">
      <formula>"aprovado"</formula>
    </cfRule>
    <cfRule type="cellIs" dxfId="1" priority="4" operator="equal">
      <formula>"aprovado"</formula>
    </cfRule>
    <cfRule type="cellIs" dxfId="0" priority="5" operator="equal">
      <formula>"reprovado"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3aabb5-4ef4-426a-b8e3-ad71d56fc232" xsi:nil="true"/>
    <lcf76f155ced4ddcb4097134ff3c332f xmlns="f68bb4d7-7edc-4d8a-9df8-02dc45d792e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2CB197A24E3E4DA81A36441D05E748" ma:contentTypeVersion="19" ma:contentTypeDescription="Crie um novo documento." ma:contentTypeScope="" ma:versionID="03262cbeb2888d379e7b4d9b3b50f4d8">
  <xsd:schema xmlns:xsd="http://www.w3.org/2001/XMLSchema" xmlns:xs="http://www.w3.org/2001/XMLSchema" xmlns:p="http://schemas.microsoft.com/office/2006/metadata/properties" xmlns:ns2="573aabb5-4ef4-426a-b8e3-ad71d56fc232" xmlns:ns3="f68bb4d7-7edc-4d8a-9df8-02dc45d792e0" targetNamespace="http://schemas.microsoft.com/office/2006/metadata/properties" ma:root="true" ma:fieldsID="c994d844c0558af998c2e3d0476a8f71" ns2:_="" ns3:_="">
    <xsd:import namespace="573aabb5-4ef4-426a-b8e3-ad71d56fc232"/>
    <xsd:import namespace="f68bb4d7-7edc-4d8a-9df8-02dc45d792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aabb5-4ef4-426a-b8e3-ad71d56fc2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ea76f-524b-413a-9ddd-01a268ac1a6a}" ma:internalName="TaxCatchAll" ma:showField="CatchAllData" ma:web="573aabb5-4ef4-426a-b8e3-ad71d56fc2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bb4d7-7edc-4d8a-9df8-02dc45d792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8585dd9-08bf-4ae9-865e-f47d7bdc18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A8B736-4BA4-4B6B-906F-0A8CB6FC01AA}">
  <ds:schemaRefs>
    <ds:schemaRef ds:uri="f68bb4d7-7edc-4d8a-9df8-02dc45d792e0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573aabb5-4ef4-426a-b8e3-ad71d56fc232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DC866B4-E4CA-44F2-AD75-6C56D35DE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3aabb5-4ef4-426a-b8e3-ad71d56fc232"/>
    <ds:schemaRef ds:uri="f68bb4d7-7edc-4d8a-9df8-02dc45d79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63BA0A-C11B-48BD-9A77-1812F3E5F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Linearização</vt:lpstr>
      <vt:lpstr>Falha Presumida</vt:lpstr>
      <vt:lpstr>'Falha Presumida'!Area_de_impressao</vt:lpstr>
      <vt:lpstr>Linearização!Area_de_impressao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de Moraes</dc:creator>
  <cp:keywords/>
  <dc:description/>
  <cp:lastModifiedBy>Matheus Bandeira</cp:lastModifiedBy>
  <cp:revision/>
  <cp:lastPrinted>2026-04-29T16:52:08Z</cp:lastPrinted>
  <dcterms:created xsi:type="dcterms:W3CDTF">2024-09-08T21:57:22Z</dcterms:created>
  <dcterms:modified xsi:type="dcterms:W3CDTF">2026-06-23T18:02:09Z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0x010100E22CB197A24E3E4DA81A36441D05E748</vt:lpwstr>
  </property>
  <property fmtid="{D5CDD505-2E9C-101B-9397-08002B2CF9AE}" pid="3" name="MediaServiceImageTags">
    <vt:lpwstr/>
  </property>
</Properties>
</file>